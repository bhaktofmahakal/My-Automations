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DM Tracker" sheetId="2" state="visible" r:id="rId2"/>
    <sheet xmlns:r="http://schemas.openxmlformats.org/officeDocument/2006/relationships" name="Daily Dashboard" sheetId="3" state="visible" r:id="rId3"/>
    <sheet xmlns:r="http://schemas.openxmlformats.org/officeDocument/2006/relationships" name="Reply Templates" sheetId="4" state="visible" r:id="rId4"/>
    <sheet xmlns:r="http://schemas.openxmlformats.org/officeDocument/2006/relationships" name="Daily Reports" sheetId="5" state="visible" r:id="rId5"/>
    <sheet xmlns:r="http://schemas.openxmlformats.org/officeDocument/2006/relationships" name="Config" sheetId="6" state="visible" r:id="rId6"/>
  </sheets>
  <definedNames/>
  <calcPr calcId="124519" fullCalcOnLoad="1"/>
</workbook>
</file>

<file path=xl/styles.xml><?xml version="1.0" encoding="utf-8"?>
<styleSheet xmlns="http://schemas.openxmlformats.org/spreadsheetml/2006/main">
  <numFmts count="1">
    <numFmt numFmtId="164" formatCode="0.0&quot;%&quot;"/>
  </numFmts>
  <fonts count="9">
    <font>
      <name val="Calibri"/>
      <family val="2"/>
      <color theme="1"/>
      <sz val="11"/>
      <scheme val="minor"/>
    </font>
    <font>
      <name val="Segoe UI"/>
      <b val="1"/>
      <color rgb="00FFFFFF"/>
      <sz val="11"/>
    </font>
    <font>
      <name val="Segoe UI"/>
      <b val="1"/>
      <color rgb="00FFFFFF"/>
      <sz val="16"/>
    </font>
    <font>
      <name val="Segoe UI"/>
      <b val="1"/>
      <sz val="10"/>
    </font>
    <font>
      <name val="Segoe UI"/>
      <i val="1"/>
      <sz val="10"/>
    </font>
    <font>
      <name val="Segoe UI"/>
      <b val="1"/>
      <color rgb="00666666"/>
      <sz val="9"/>
    </font>
    <font>
      <name val="Segoe UI"/>
      <b val="1"/>
      <color rgb="001A1A2E"/>
      <sz val="20"/>
    </font>
    <font>
      <name val="Segoe UI"/>
      <sz val="10"/>
    </font>
    <font>
      <name val="Segoe UI"/>
      <sz val="9.5"/>
    </font>
  </fonts>
  <fills count="6">
    <fill>
      <patternFill/>
    </fill>
    <fill>
      <patternFill patternType="gray125"/>
    </fill>
    <fill>
      <patternFill patternType="solid">
        <fgColor rgb="00E65100"/>
        <bgColor rgb="00E65100"/>
      </patternFill>
    </fill>
    <fill>
      <patternFill patternType="solid">
        <fgColor rgb="001A1A2E"/>
        <bgColor rgb="001A1A2E"/>
      </patternFill>
    </fill>
    <fill>
      <patternFill patternType="solid">
        <fgColor rgb="00FFF3E0"/>
        <bgColor rgb="00FFF3E0"/>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2" fillId="3" borderId="0" applyAlignment="1" pivotButton="0" quotePrefix="0" xfId="0">
      <alignment horizontal="left" vertical="center"/>
    </xf>
    <xf numFmtId="0" fontId="3" fillId="0" borderId="0" pivotButton="0" quotePrefix="0" xfId="0"/>
    <xf numFmtId="0" fontId="4" fillId="0" borderId="0" pivotButton="0" quotePrefix="0" xfId="0"/>
    <xf numFmtId="0" fontId="5" fillId="4" borderId="1" applyAlignment="1" pivotButton="0" quotePrefix="0" xfId="0">
      <alignment horizontal="center"/>
    </xf>
    <xf numFmtId="0" fontId="0" fillId="4" borderId="1" pivotButton="0" quotePrefix="0" xfId="0"/>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 fillId="2" borderId="1" pivotButton="0" quotePrefix="0" xfId="0"/>
    <xf numFmtId="0" fontId="1" fillId="2" borderId="1" applyAlignment="1" pivotButton="0" quotePrefix="0" xfId="0">
      <alignment horizontal="right"/>
    </xf>
    <xf numFmtId="0" fontId="7" fillId="0" borderId="1" pivotButton="0" quotePrefix="0" xfId="0"/>
    <xf numFmtId="0" fontId="3" fillId="0" borderId="1" applyAlignment="1" pivotButton="0" quotePrefix="0" xfId="0">
      <alignment horizontal="right"/>
    </xf>
    <xf numFmtId="0" fontId="1" fillId="2" borderId="1" applyAlignment="1" pivotButton="0" quotePrefix="0" xfId="0">
      <alignment horizontal="center" vertical="center"/>
    </xf>
    <xf numFmtId="0" fontId="8" fillId="0" borderId="1" pivotButton="0" quotePrefix="0" xfId="0"/>
    <xf numFmtId="0" fontId="8" fillId="0" borderId="1" applyAlignment="1" pivotButton="0" quotePrefix="0" xfId="0">
      <alignment vertical="top" wrapText="1"/>
    </xf>
    <xf numFmtId="0" fontId="1" fillId="3" borderId="1" pivotButton="0" quotePrefix="0" xfId="0"/>
    <xf numFmtId="0" fontId="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cols>
    <col width="12" customWidth="1" min="1" max="1"/>
    <col width="12" customWidth="1" min="2" max="2"/>
    <col width="12" customWidth="1" min="3" max="3"/>
    <col width="13" customWidth="1" min="4" max="4"/>
    <col width="12" customWidth="1" min="5" max="5"/>
    <col width="15" customWidth="1" min="6" max="6"/>
    <col width="14" customWidth="1" min="7" max="7"/>
    <col width="16" customWidth="1" min="8" max="8"/>
    <col width="12" customWidth="1" min="9" max="9"/>
    <col width="12" customWidth="1" min="10" max="10"/>
    <col width="18" customWidth="1" min="11" max="11"/>
    <col width="15" customWidth="1" min="12" max="12"/>
    <col width="14" customWidth="1" min="13" max="13"/>
    <col width="12" customWidth="1" min="14" max="14"/>
    <col width="22" customWidth="1" min="15" max="15"/>
    <col width="12" customWidth="1" min="16" max="16"/>
  </cols>
  <sheetData>
    <row r="1">
      <c r="A1" s="1" t="inlineStr">
        <is>
          <t>Timestamp</t>
        </is>
      </c>
      <c r="B1" s="1" t="inlineStr">
        <is>
          <t>Platform</t>
        </is>
      </c>
      <c r="C1" s="1" t="inlineStr">
        <is>
          <t>Post ID</t>
        </is>
      </c>
      <c r="D1" s="1" t="inlineStr">
        <is>
          <t>Comment ID</t>
        </is>
      </c>
      <c r="E1" s="1" t="inlineStr">
        <is>
          <t>Username</t>
        </is>
      </c>
      <c r="F1" s="1" t="inlineStr">
        <is>
          <t>Comment Text</t>
        </is>
      </c>
      <c r="G1" s="1" t="inlineStr">
        <is>
          <t>AI Category</t>
        </is>
      </c>
      <c r="H1" s="1" t="inlineStr">
        <is>
          <t>AI Confidence</t>
        </is>
      </c>
      <c r="I1" s="1" t="inlineStr">
        <is>
          <t>Priority</t>
        </is>
      </c>
      <c r="J1" s="1" t="inlineStr">
        <is>
          <t>Action</t>
        </is>
      </c>
      <c r="K1" s="1" t="inlineStr">
        <is>
          <t>Suggested Reply</t>
        </is>
      </c>
      <c r="L1" s="1" t="inlineStr">
        <is>
          <t>Action Taken</t>
        </is>
      </c>
      <c r="M1" s="1" t="inlineStr">
        <is>
          <t>Assigned To</t>
        </is>
      </c>
      <c r="N1" s="1" t="inlineStr">
        <is>
          <t>Status</t>
        </is>
      </c>
      <c r="O1" s="1" t="inlineStr">
        <is>
          <t>Response Time (min)</t>
        </is>
      </c>
      <c r="P1" s="1" t="inlineStr">
        <is>
          <t>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cols>
    <col width="12" customWidth="1" min="1" max="1"/>
    <col width="12" customWidth="1" min="2" max="2"/>
    <col width="18" customWidth="1" min="3" max="3"/>
    <col width="20" customWidth="1" min="4" max="4"/>
    <col width="15" customWidth="1" min="5" max="5"/>
    <col width="14" customWidth="1" min="6" max="6"/>
    <col width="12" customWidth="1" min="7" max="7"/>
    <col width="12" customWidth="1" min="8" max="8"/>
    <col width="26" customWidth="1" min="9" max="9"/>
    <col width="28" customWidth="1" min="10" max="10"/>
    <col width="12" customWidth="1" min="11" max="11"/>
    <col width="12" customWidth="1" min="12" max="12"/>
    <col width="13" customWidth="1" min="13" max="13"/>
    <col width="24" customWidth="1" min="14" max="14"/>
  </cols>
  <sheetData>
    <row r="1">
      <c r="A1" s="1" t="inlineStr">
        <is>
          <t>Timestamp</t>
        </is>
      </c>
      <c r="B1" s="1" t="inlineStr">
        <is>
          <t>Platform</t>
        </is>
      </c>
      <c r="C1" s="1" t="inlineStr">
        <is>
          <t>Conversation ID</t>
        </is>
      </c>
      <c r="D1" s="1" t="inlineStr">
        <is>
          <t>Customer Username</t>
        </is>
      </c>
      <c r="E1" s="1" t="inlineStr">
        <is>
          <t>Message Text</t>
        </is>
      </c>
      <c r="F1" s="1" t="inlineStr">
        <is>
          <t>AI Category</t>
        </is>
      </c>
      <c r="G1" s="1" t="inlineStr">
        <is>
          <t>Priority</t>
        </is>
      </c>
      <c r="H1" s="1" t="inlineStr">
        <is>
          <t>Route To</t>
        </is>
      </c>
      <c r="I1" s="1" t="inlineStr">
        <is>
          <t>Suggested Reply (Hindi)</t>
        </is>
      </c>
      <c r="J1" s="1" t="inlineStr">
        <is>
          <t>Suggested Reply (English)</t>
        </is>
      </c>
      <c r="K1" s="1" t="inlineStr">
        <is>
          <t>Urgency</t>
        </is>
      </c>
      <c r="L1" s="1" t="inlineStr">
        <is>
          <t>Status</t>
        </is>
      </c>
      <c r="M1" s="1" t="inlineStr">
        <is>
          <t>Handled By</t>
        </is>
      </c>
      <c r="N1" s="1" t="inlineStr">
        <is>
          <t>Resolution Time (min)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 xml:space="preserve"> 📊 Divine Hindu — Social Media Intelligence Dashboard</t>
        </is>
      </c>
    </row>
    <row r="2"/>
    <row r="3">
      <c r="A3" s="3" t="inlineStr">
        <is>
          <t>Today:</t>
        </is>
      </c>
      <c r="B3" s="4">
        <f>TEXT(TODAY(), "DD MMM YYYY")</f>
        <v/>
      </c>
    </row>
    <row r="4">
      <c r="B4" s="5" t="inlineStr">
        <is>
          <t>TOTAL COMMENTS TODAY</t>
        </is>
      </c>
      <c r="C4" s="6" t="n"/>
      <c r="E4" s="5" t="inlineStr">
        <is>
          <t>AVG RESPONSE TIME</t>
        </is>
      </c>
      <c r="F4" s="6" t="n"/>
      <c r="H4" s="5" t="inlineStr">
        <is>
          <t>AUTO-RESOLVED %</t>
        </is>
      </c>
      <c r="I4" s="6" t="n"/>
    </row>
    <row r="5">
      <c r="B5" s="7">
        <f>COUNTIF('Master Tracker'!A:A, "&gt;="&amp;TODAY())</f>
        <v/>
      </c>
      <c r="C5" s="6" t="n"/>
      <c r="E5" s="7">
        <f>IFERROR(AVERAGEIFS('Master Tracker'!O:O, 'Master Tracker'!A:A, "&gt;="&amp;TODAY()), 0)</f>
        <v/>
      </c>
      <c r="F5" s="6" t="n"/>
      <c r="H5" s="8">
        <f>IFERROR(COUNTIFS('Master Tracker'!A:A, "&gt;="&amp;TODAY(), 'Master Tracker'!J:J, "AUTO_REPLY") / B5 * 100, 100)</f>
        <v/>
      </c>
      <c r="I5" s="6" t="n"/>
    </row>
    <row r="7">
      <c r="B7" s="9" t="inlineStr">
        <is>
          <t>Category</t>
        </is>
      </c>
      <c r="C7" s="10" t="inlineStr">
        <is>
          <t>Volume Today</t>
        </is>
      </c>
    </row>
    <row r="8">
      <c r="B8" s="11" t="inlineStr">
        <is>
          <t>Product Inquiry</t>
        </is>
      </c>
      <c r="C8" s="12">
        <f>COUNTIFS('Master Tracker'!A:A, "&gt;="&amp;TODAY(), 'Master Tracker'!G:G, "PRODUCT_INQUIRY")</f>
        <v/>
      </c>
    </row>
    <row r="9">
      <c r="B9" s="11" t="inlineStr">
        <is>
          <t>Price Question</t>
        </is>
      </c>
      <c r="C9" s="12">
        <f>COUNTIFS('Master Tracker'!A:A, "&gt;="&amp;TODAY(), 'Master Tracker'!G:G, "PRICE_QUESTION")</f>
        <v/>
      </c>
    </row>
    <row r="10">
      <c r="B10" s="11" t="inlineStr">
        <is>
          <t>Complaint</t>
        </is>
      </c>
      <c r="C10" s="12">
        <f>COUNTIFS('Master Tracker'!A:A, "&gt;="&amp;TODAY(), 'Master Tracker'!G:G, "COMPLAINT")</f>
        <v/>
      </c>
    </row>
    <row r="11">
      <c r="B11" s="11" t="inlineStr">
        <is>
          <t>Order Query</t>
        </is>
      </c>
      <c r="C11" s="12">
        <f>COUNTIFS('Master Tracker'!A:A, "&gt;="&amp;TODAY(), 'Master Tracker'!G:G, "ORDER_QUERY")</f>
        <v/>
      </c>
    </row>
    <row r="12">
      <c r="B12" s="11" t="inlineStr">
        <is>
          <t>Spam</t>
        </is>
      </c>
      <c r="C12" s="12">
        <f>COUNTIFS('Master Tracker'!A:A, "&gt;="&amp;TODAY(), 'Master Tracker'!G:G, "SPAM")</f>
        <v/>
      </c>
    </row>
    <row r="13">
      <c r="B13" s="11" t="inlineStr">
        <is>
          <t>Irrelevant</t>
        </is>
      </c>
      <c r="C13" s="12">
        <f>COUNTIFS('Master Tracker'!A:A, "&gt;="&amp;TODAY(), 'Master Tracker'!G:G, "IRRELEVANT")</f>
        <v/>
      </c>
    </row>
    <row r="14">
      <c r="B14" s="11" t="inlineStr">
        <is>
          <t>Positive Feedback</t>
        </is>
      </c>
      <c r="C14" s="12">
        <f>COUNTIFS('Master Tracker'!A:A, "&gt;="&amp;TODAY(), 'Master Tracker'!G:G, "POSITIVE_FEEDBACK")</f>
        <v/>
      </c>
    </row>
    <row r="15">
      <c r="B15" s="11" t="inlineStr">
        <is>
          <t>Collaboration Request</t>
        </is>
      </c>
      <c r="C15" s="12">
        <f>COUNTIFS('Master Tracker'!A:A, "&gt;="&amp;TODAY(), 'Master Tracker'!G:G, "COLLABORATION_REQUEST")</f>
        <v/>
      </c>
    </row>
  </sheetData>
  <mergeCells count="7">
    <mergeCell ref="E4:F4"/>
    <mergeCell ref="B5:C5"/>
    <mergeCell ref="E5:F5"/>
    <mergeCell ref="H5:I5"/>
    <mergeCell ref="H4:I4"/>
    <mergeCell ref="A1:H2"/>
    <mergeCell ref="B4: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20" customWidth="1" min="2" max="2"/>
    <col width="31" customWidth="1" min="3" max="3"/>
    <col width="45" customWidth="1" min="4" max="4"/>
    <col width="45" customWidth="1" min="5" max="5"/>
    <col width="210" customWidth="1" min="6" max="6"/>
    <col width="15" customWidth="1" min="7" max="7"/>
    <col width="12" customWidth="1" min="8" max="8"/>
  </cols>
  <sheetData>
    <row r="1">
      <c r="A1" s="13" t="inlineStr">
        <is>
          <t>Template ID</t>
        </is>
      </c>
      <c r="B1" s="13" t="inlineStr">
        <is>
          <t>Category</t>
        </is>
      </c>
      <c r="C1" s="13" t="inlineStr">
        <is>
          <t>Sub-Category</t>
        </is>
      </c>
      <c r="D1" s="13" t="inlineStr">
        <is>
          <t>Template (Hindi)</t>
        </is>
      </c>
      <c r="E1" s="13" t="inlineStr">
        <is>
          <t>Template (English)</t>
        </is>
      </c>
      <c r="F1" s="13" t="inlineStr">
        <is>
          <t>Variables</t>
        </is>
      </c>
      <c r="G1" s="13" t="inlineStr">
        <is>
          <t>Tone</t>
        </is>
      </c>
      <c r="H1" s="13" t="inlineStr">
        <is>
          <t>Platform</t>
        </is>
      </c>
    </row>
    <row r="2">
      <c r="A2" s="14" t="inlineStr">
        <is>
          <t>PI_001</t>
        </is>
      </c>
      <c r="B2" s="14" t="inlineStr">
        <is>
          <t>PRODUCT_INQUIRY</t>
        </is>
      </c>
      <c r="C2" s="14" t="inlineStr">
        <is>
          <t>general_product_info</t>
        </is>
      </c>
      <c r="D2" s="15" t="inlineStr">
        <is>
          <t>🙏 Namaste {{customer_name}} ji!
Divine Hindu mein aapka swagat hai! Hum premium quality ke puja samagri, moortiyan, rudraksha, yantra, pooja thali sets, agarbatti, aur bahut kuch offer karte hain.
Aap hamari poori range yahan dekh sakte hain: {{catalog_link}}
Koi specific product chahiye toh zaroor batayein, hum aapki madad ke liye hamesha taiyaar hain! 🙏
~ Divine Hindu Parivar</t>
        </is>
      </c>
      <c r="E2" s="15" t="inlineStr">
        <is>
          <t>🙏 Namaste {{customer_name}} Ji!
Welcome to Divine Hindu! We offer premium quality puja samagri, idols (murtis), rudraksha, yantras, pooja thali sets, agarbatti, and much more.
You can browse our complete range here: {{catalog_link}}
If you're looking for something specific, please let us know — we're always happy to help! 🙏
~ Divine Hindu Family</t>
        </is>
      </c>
      <c r="F2" s="14" t="inlineStr">
        <is>
          <t>customer_name, catalog_link</t>
        </is>
      </c>
      <c r="G2" s="14" t="inlineStr">
        <is>
          <t>warm</t>
        </is>
      </c>
      <c r="H2" s="14" t="inlineStr">
        <is>
          <t>both</t>
        </is>
      </c>
    </row>
    <row r="3">
      <c r="A3" s="14" t="inlineStr">
        <is>
          <t>PI_002</t>
        </is>
      </c>
      <c r="B3" s="14" t="inlineStr">
        <is>
          <t>PRODUCT_INQUIRY</t>
        </is>
      </c>
      <c r="C3" s="14" t="inlineStr">
        <is>
          <t>specific_product_details</t>
        </is>
      </c>
      <c r="D3" s="15" t="inlineStr">
        <is>
          <t>🙏 Namaste {{customer_name}} ji!
{{product_name}} ke baare mein poori jaankari:
📏 Size: {{product_size}}
⚖️ Weight: {{product_weight}}
🏺 Material: {{product_material}}
💰 Price: ₹{{product_price}}
📦 Box mein kya milega: {{whats_in_box}}
✅ Yeh product {{product_highlight}} ke liye bilkul perfect hai.
Order karna chahein toh bas bol dijiye, hum turant process kar denge! 🙏</t>
        </is>
      </c>
      <c r="E3" s="15" t="inlineStr">
        <is>
          <t>🙏 Namaste {{customer_name}} Ji!
Here are the complete details for {{product_name}}:
📏 Size: {{product_size}}
⚖️ Weight: {{product_weight}}
🏺 Material: {{product_material}}
💰 Price: ₹{{product_price}}
📦 What's in the box: {{whats_in_box}}
✅ This product is perfect for {{product_highlight}}.
Would you like to place an order? Just say the word! 🙏</t>
        </is>
      </c>
      <c r="F3" s="14" t="inlineStr">
        <is>
          <t>customer_name, product_name, product_size, product_weight, product_material, product_price, whats_in_box, product_highlight</t>
        </is>
      </c>
      <c r="G3" s="14" t="inlineStr">
        <is>
          <t>professional</t>
        </is>
      </c>
      <c r="H3" s="14" t="inlineStr">
        <is>
          <t>both</t>
        </is>
      </c>
    </row>
    <row r="4">
      <c r="A4" s="14" t="inlineStr">
        <is>
          <t>PI_003</t>
        </is>
      </c>
      <c r="B4" s="14" t="inlineStr">
        <is>
          <t>PRODUCT_INQUIRY</t>
        </is>
      </c>
      <c r="C4" s="14" t="inlineStr">
        <is>
          <t>product_availability</t>
        </is>
      </c>
      <c r="D4" s="15" t="inlineStr">
        <is>
          <t>🙏 Namaste {{customer_name}} ji!
{{product_name}} abhi {{availability_status}} hai.
{{#if_available}}✅ Haan ji, yeh product available hai! Aap abhi order kar sakte hain. Delivery {{delivery_estimate}} mein ho jayegi.
Order ke liye DM karein ya {{order_link}} par click karein! 🛒{{/if_available}}
{{#if_unavailable}}🔔 Yeh product abhi stock mein nahi hai, lekin {{restock_date}} tak wapas aa jayega. Kya aap chahenge ki hum aapko notify kar dein jab yeh available ho? Bas 'NOTIFY' likh dijiye! 🙏{{/if_unavailable}}</t>
        </is>
      </c>
      <c r="E4" s="15" t="inlineStr">
        <is>
          <t>🙏 Namaste {{customer_name}} Ji!
{{product_name}} is currently {{availability_status}}.
{{#if_available}}✅ Yes, this product is available! You can order it right now. Delivery will be within {{delivery_estimate}}.
To order, DM us or click {{order_link}}! 🛒{{/if_available}}
{{#if_unavailable}}🔔 This product is currently out of stock, but it will be back by {{restock_date}}. Would you like us to notify you when it's available? Just type 'NOTIFY'! 🙏{{/if_unavailable}}</t>
        </is>
      </c>
      <c r="F4" s="14" t="inlineStr">
        <is>
          <t>customer_name, product_name, availability_status, delivery_estimate, order_link, restock_date</t>
        </is>
      </c>
      <c r="G4" s="14" t="inlineStr">
        <is>
          <t>warm</t>
        </is>
      </c>
      <c r="H4" s="14" t="inlineStr">
        <is>
          <t>both</t>
        </is>
      </c>
    </row>
    <row r="5">
      <c r="A5" s="14" t="inlineStr">
        <is>
          <t>PI_004</t>
        </is>
      </c>
      <c r="B5" s="14" t="inlineStr">
        <is>
          <t>PRODUCT_INQUIRY</t>
        </is>
      </c>
      <c r="C5" s="14" t="inlineStr">
        <is>
          <t>product_customization</t>
        </is>
      </c>
      <c r="D5" s="15" t="inlineStr">
        <is>
          <t>🙏 Namaste {{customer_name}} ji!
Haan ji, hum customization ka option dete hain! 🎨
Aap {{customization_options}} karwa sakte hain.
📝 Custom order ke liye humein yeh batayein:
1. Kaunsa product chahiye
2. Kya customization chahiye
3. Kab tak chahiye
⏰ Custom orders mein {{custom_timeline}} ka extra time lagta hai.
💰 Customization charges: ₹{{custom_charges}} se shuru
Apni requirement batayein, hum best quote bhejenge! 🙏</t>
        </is>
      </c>
      <c r="E5" s="15" t="inlineStr">
        <is>
          <t>🙏 Namaste {{customer_name}} Ji!
Yes, we do offer customization! 🎨
You can get {{customization_options}}.
📝 For custom orders, please share:
1. Which product you'd like
2. What customization you need
3. Your desired delivery date
⏰ Custom orders take an additional {{custom_timeline}}.
💰 Customization starts at ₹{{custom_charges}}
Share your requirements and we'll send you the best quote! 🙏</t>
        </is>
      </c>
      <c r="F5" s="14" t="inlineStr">
        <is>
          <t>customer_name, customization_options, custom_timeline, custom_charges</t>
        </is>
      </c>
      <c r="G5" s="14" t="inlineStr">
        <is>
          <t>enthusiastic</t>
        </is>
      </c>
      <c r="H5" s="14" t="inlineStr">
        <is>
          <t>dm</t>
        </is>
      </c>
    </row>
    <row r="6">
      <c r="A6" s="14" t="inlineStr">
        <is>
          <t>PI_005</t>
        </is>
      </c>
      <c r="B6" s="14" t="inlineStr">
        <is>
          <t>PRODUCT_INQUIRY</t>
        </is>
      </c>
      <c r="C6" s="14" t="inlineStr">
        <is>
          <t>bulk_wholesale_inquiry</t>
        </is>
      </c>
      <c r="D6" s="15" t="inlineStr">
        <is>
          <t>🙏 Namaste {{customer_name}} ji!
Bulk/wholesale inquiry ke liye dhanyavaad! 🏛️
Hum mandir, events, aur resellers ke liye special bulk pricing dete hain.
📋 Aap humein yeh details share karein:
1. Kaunse products chahiye
2. Kitni quantity chahiye
3. Delivery location
4. Kab tak chahiye
💰 {{min_bulk_qty}}+ units par special wholesale rates milte hain.
📞 Direct baat karne ke liye call karein: {{bulk_contact_number}}
Hum 24 ghante mein aapko detailed quotation bhej denge! 🙏</t>
        </is>
      </c>
      <c r="E6" s="15" t="inlineStr">
        <is>
          <t>🙏 Namaste {{customer_name}} Ji!
Thank you for your bulk/wholesale inquiry! 🏛️
We offer special bulk pricing for temples, events, and resellers.
📋 Please share the following details:
1. Products required
2. Quantity needed
3. Delivery location
4. Required by date
💰 Special wholesale rates available on {{min_bulk_qty}}+ units.
📞 For direct discussion, call us at: {{bulk_contact_number}}
We'll send you a detailed quotation within 24 hours! 🙏</t>
        </is>
      </c>
      <c r="F6" s="14" t="inlineStr">
        <is>
          <t>customer_name, min_bulk_qty, bulk_contact_number</t>
        </is>
      </c>
      <c r="G6" s="14" t="inlineStr">
        <is>
          <t>professional</t>
        </is>
      </c>
      <c r="H6" s="14" t="inlineStr">
        <is>
          <t>dm</t>
        </is>
      </c>
    </row>
    <row r="7">
      <c r="A7" s="14" t="inlineStr">
        <is>
          <t>PI_006</t>
        </is>
      </c>
      <c r="B7" s="14" t="inlineStr">
        <is>
          <t>PRODUCT_INQUIRY</t>
        </is>
      </c>
      <c r="C7" s="14" t="inlineStr">
        <is>
          <t>product_comparison</t>
        </is>
      </c>
      <c r="D7" s="15" t="inlineStr">
        <is>
          <t>🙏 Namaste {{customer_name}} ji!
Bahut accha sawaal! Dono products ki comparison yeh rahi:
🔸 {{product_1_name}}:
   - Material: {{product_1_material}}
   - Size: {{product_1_size}}
   - Price: ₹{{product_1_price}}
   - Best for: {{product_1_best_for}}
🔹 {{product_2_name}}:
   - Material: {{product_2_material}}
   - Size: {{product_2_size}}
   - Price: ₹{{product_2_price}}
   - Best for: {{product_2_best_for}}
💡 Hamari suggestion: {{recommendation}}
Koi aur sawaal ho toh zaroor poochiye! 🙏</t>
        </is>
      </c>
      <c r="E7" s="15" t="inlineStr">
        <is>
          <t>🙏 Namaste {{customer_name}} Ji!
Great question! Here's a comparison of both products:
🔸 {{product_1_name}}:
   - Material: {{product_1_material}}
   - Size: {{product_1_size}}
   - Price: ₹{{product_1_price}}
   - Best for: {{product_1_best_for}}
🔹 {{product_2_name}}:
   - Material: {{product_2_material}}
   - Size: {{product_2_size}}
   - Price: ₹{{product_2_price}}
   - Best for: {{product_2_best_for}}
💡 Our recommendation: {{recommendation}}
Feel free to ask if you have any more questions! 🙏</t>
        </is>
      </c>
      <c r="F7" s="14" t="inlineStr">
        <is>
          <t>customer_name, product_1_name, product_1_material, product_1_size, product_1_price, product_1_best_for, product_2_name, product_2_material, product_2_size, product_2_price, product_2_best_for, recommendation</t>
        </is>
      </c>
      <c r="G7" s="14" t="inlineStr">
        <is>
          <t>professional</t>
        </is>
      </c>
      <c r="H7" s="14" t="inlineStr">
        <is>
          <t>dm</t>
        </is>
      </c>
    </row>
    <row r="8">
      <c r="A8" s="14" t="inlineStr">
        <is>
          <t>PQ_001</t>
        </is>
      </c>
      <c r="B8" s="14" t="inlineStr">
        <is>
          <t>PRICE_QUESTION</t>
        </is>
      </c>
      <c r="C8" s="14" t="inlineStr">
        <is>
          <t>single_product_price</t>
        </is>
      </c>
      <c r="D8" s="15" t="inlineStr">
        <is>
          <t>🙏 Namaste {{customer_name}} ji!
{{product_name}} ki price:
💰 MRP: ₹{{mrp}}
🏷️ Hamari special price: ₹{{selling_price}} ({{discount_percent}}% OFF!)
🚚 Shipping: {{shipping_info}}
✨ Yeh price limited time ke liye hai!
🛒 Order karne ke liye: {{order_link}}
Ya bas DM mein 'ORDER' likh dijiye!
🙏 Har Har Mahadev!</t>
        </is>
      </c>
      <c r="E8" s="15" t="inlineStr">
        <is>
          <t>🙏 Namaste {{customer_name}} Ji!
Pricing for {{product_name}}:
💰 MRP: ₹{{mrp}}
🏷️ Our special price: ₹{{selling_price}} ({{discount_percent}}% OFF!)
🚚 Shipping: {{shipping_info}}
✨ This price is available for a limited time!
🛒 To order: {{order_link}}
Or simply DM us 'ORDER'!
🙏 Har Har Mahadev!</t>
        </is>
      </c>
      <c r="F8" s="14" t="inlineStr">
        <is>
          <t>customer_name, product_name, mrp, selling_price, discount_percent, shipping_info, order_link</t>
        </is>
      </c>
      <c r="G8" s="14" t="inlineStr">
        <is>
          <t>enthusiastic</t>
        </is>
      </c>
      <c r="H8" s="14" t="inlineStr">
        <is>
          <t>both</t>
        </is>
      </c>
    </row>
    <row r="9">
      <c r="A9" s="14" t="inlineStr">
        <is>
          <t>PQ_002</t>
        </is>
      </c>
      <c r="B9" s="14" t="inlineStr">
        <is>
          <t>PRICE_QUESTION</t>
        </is>
      </c>
      <c r="C9" s="14" t="inlineStr">
        <is>
          <t>bulk_pricing</t>
        </is>
      </c>
      <c r="D9" s="15" t="inlineStr">
        <is>
          <t>🙏 Namaste {{customer_name}} ji!
Bulk pricing ke liye hamara rate structure:
📦 {{qty_tier_1}} units: ₹{{price_tier_1}}/piece
📦 {{qty_tier_2}} units: ₹{{price_tier_2}}/piece
📦 {{qty_tier_3}}+ units: ₹{{price_tier_3}}/piece
🚚 {{bulk_shipping_info}}
💳 Payment terms: {{payment_terms}}
Aur zyada quantity ke liye special rates ke liye {{bulk_contact_number}} par call karein ya DM mein apni requirement batayein! 🙏</t>
        </is>
      </c>
      <c r="E9" s="15" t="inlineStr">
        <is>
          <t>🙏 Namaste {{customer_name}} Ji!
Here's our bulk pricing structure:
📦 {{qty_tier_1}} units: ₹{{price_tier_1}}/piece
📦 {{qty_tier_2}} units: ₹{{price_tier_2}}/piece
📦 {{qty_tier_3}}+ units: ₹{{price_tier_3}}/piece
🚚 {{bulk_shipping_info}}
💳 Payment terms: {{payment_terms}}
For larger quantities with special rates, call {{bulk_contact_number}} or DM us your requirement! 🙏</t>
        </is>
      </c>
      <c r="F9" s="14" t="inlineStr">
        <is>
          <t>customer_name, qty_tier_1, price_tier_1, qty_tier_2, price_tier_2, qty_tier_3, price_tier_3, bulk_shipping_info, payment_terms, bulk_contact_number</t>
        </is>
      </c>
      <c r="G9" s="14" t="inlineStr">
        <is>
          <t>professional</t>
        </is>
      </c>
      <c r="H9" s="14" t="inlineStr">
        <is>
          <t>dm</t>
        </is>
      </c>
    </row>
    <row r="10">
      <c r="A10" s="14" t="inlineStr">
        <is>
          <t>PQ_003</t>
        </is>
      </c>
      <c r="B10" s="14" t="inlineStr">
        <is>
          <t>PRICE_QUESTION</t>
        </is>
      </c>
      <c r="C10" s="14" t="inlineStr">
        <is>
          <t>discount_inquiry</t>
        </is>
      </c>
      <c r="D10" s="15" t="inlineStr">
        <is>
          <t>🙏 Namaste {{customer_name}} ji!
Aapke liye khushkhabri! 🎉
🏷️ Abhi chal raha offer: {{current_offer}}
🎟️ Coupon Code: {{coupon_code}} ({{coupon_discount}} OFF)
📅 Valid till: {{offer_expiry}}
💡 Extra savings tips:
• ₹{{free_shipping_threshold}}+ ke order par FREE shipping!
• Combo sets mein aur zyada bachat!
Jaldi karein, limited time offer hai! ⏰🙏</t>
        </is>
      </c>
      <c r="E10" s="15" t="inlineStr">
        <is>
          <t>🙏 Namaste {{customer_name}} Ji!
Great news for you! 🎉
🏷️ Current offer: {{current_offer}}
🎟️ Coupon Code: {{coupon_code}} ({{coupon_discount}} OFF)
📅 Valid till: {{offer_expiry}}
💡 Extra savings tips:
• FREE shipping on orders above ₹{{free_shipping_threshold}}!
• Save more with our combo sets!
Hurry, this is a limited time offer! ⏰🙏</t>
        </is>
      </c>
      <c r="F10" s="14" t="inlineStr">
        <is>
          <t>customer_name, current_offer, coupon_code, coupon_discount, offer_expiry, free_shipping_threshold</t>
        </is>
      </c>
      <c r="G10" s="14" t="inlineStr">
        <is>
          <t>enthusiastic</t>
        </is>
      </c>
      <c r="H10" s="14" t="inlineStr">
        <is>
          <t>both</t>
        </is>
      </c>
    </row>
    <row r="11">
      <c r="A11" s="14" t="inlineStr">
        <is>
          <t>PQ_004</t>
        </is>
      </c>
      <c r="B11" s="14" t="inlineStr">
        <is>
          <t>PRICE_QUESTION</t>
        </is>
      </c>
      <c r="C11" s="14" t="inlineStr">
        <is>
          <t>emi_payment_options</t>
        </is>
      </c>
      <c r="D11" s="15" t="inlineStr">
        <is>
          <t>🙏 Namaste {{customer_name}} ji!
Hum multiple payment options dete hain:
💳 Credit/Debit Card
📱 UPI (Google Pay, PhonePe, Paytm)
🏦 Net Banking
💵 Cash on Delivery (COD) — ₹{{cod_charges}} extra
📅 EMI available on orders above ₹{{emi_min_amount}}
🔒 100% secure payment gateway
✅ Instant payment confirmation
Koi bhi payment issue ho toh humein turant batayein! 🙏</t>
        </is>
      </c>
      <c r="E11" s="15" t="inlineStr">
        <is>
          <t>🙏 Namaste {{customer_name}} Ji!
We offer multiple payment options:
💳 Credit/Debit Card
📱 UPI (Google Pay, PhonePe, Paytm)
🏦 Net Banking
💵 Cash on Delivery (COD) — ₹{{cod_charges}} extra
📅 EMI available on orders above ₹{{emi_min_amount}}
🔒 100% secure payment gateway
✅ Instant payment confirmation
If you face any payment issues, let us know immediately! 🙏</t>
        </is>
      </c>
      <c r="F11" s="14" t="inlineStr">
        <is>
          <t>customer_name, cod_charges, emi_min_amount</t>
        </is>
      </c>
      <c r="G11" s="14" t="inlineStr">
        <is>
          <t>professional</t>
        </is>
      </c>
      <c r="H11" s="14" t="inlineStr">
        <is>
          <t>dm</t>
        </is>
      </c>
    </row>
    <row r="12">
      <c r="A12" s="14" t="inlineStr">
        <is>
          <t>OR_001</t>
        </is>
      </c>
      <c r="B12" s="14" t="inlineStr">
        <is>
          <t>ORDER_RELATED</t>
        </is>
      </c>
      <c r="C12" s="14" t="inlineStr">
        <is>
          <t>order_status</t>
        </is>
      </c>
      <c r="D12" s="15" t="inlineStr">
        <is>
          <t>🙏 Namaste {{customer_name}} ji!
Aapke order ki jaankari:
📋 Order ID: {{order_id}}
📦 Status: {{order_status}}
🚚 Courier Partner: {{courier_name}}
🔢 Tracking ID: {{tracking_id}}
📍 Current Location: {{current_location}}
📅 Expected Delivery: {{expected_delivery}}
🔗 Live tracking link: {{tracking_link}}
Koi aur jaankari chahiye toh zaroor batayein! 🙏
~ Divine Hindu Parivar</t>
        </is>
      </c>
      <c r="E12" s="15" t="inlineStr">
        <is>
          <t>🙏 Namaste {{customer_name}} Ji!
Here's your order update:
📋 Order ID: {{order_id}}
📦 Status: {{order_status}}
🚚 Courier Partner: {{courier_name}}
🔢 Tracking ID: {{tracking_id}}
📍 Current Location: {{current_location}}
📅 Expected Delivery: {{expected_delivery}}
🔗 Live tracking: {{tracking_link}}
Feel free to reach out if you need anything else! 🙏
~ Divine Hindu Family</t>
        </is>
      </c>
      <c r="F12" s="14" t="inlineStr">
        <is>
          <t>customer_name, order_id, order_status, courier_name, tracking_id, current_location, expected_delivery, tracking_link</t>
        </is>
      </c>
      <c r="G12" s="14" t="inlineStr">
        <is>
          <t>professional</t>
        </is>
      </c>
      <c r="H12" s="14" t="inlineStr">
        <is>
          <t>dm</t>
        </is>
      </c>
    </row>
    <row r="13">
      <c r="A13" s="14" t="inlineStr">
        <is>
          <t>OR_002</t>
        </is>
      </c>
      <c r="B13" s="14" t="inlineStr">
        <is>
          <t>ORDER_RELATED</t>
        </is>
      </c>
      <c r="C13" s="14" t="inlineStr">
        <is>
          <t>delivery_timeline</t>
        </is>
      </c>
      <c r="D13" s="15" t="inlineStr">
        <is>
          <t>🙏 Namaste {{customer_name}} ji!
Hamari delivery timeline:
🏙️ Metro cities (Delhi, Mumbai, etc.): {{metro_days}} din
🌆 Tier-2 cities: {{tier2_days}} din
🏘️ Baaki areas: {{other_days}} din
📍 Aapke pincode {{customer_pincode}} ke liye estimated delivery: {{estimated_days}} working days
✅ Order place hone ke baad tracking details SMS/WhatsApp par bhej diye jayenge.
⚡ Jaldi chahiye? Express delivery bhi available hai — ₹{{express_charges}} extra mein!
🙏 Har Har Mahadev!</t>
        </is>
      </c>
      <c r="E13" s="15" t="inlineStr">
        <is>
          <t>🙏 Namaste {{customer_name}} Ji!
Our delivery timeline:
🏙️ Metro cities (Delhi, Mumbai, etc.): {{metro_days}} days
🌆 Tier-2 cities: {{tier2_days}} days
🏘️ Other areas: {{other_days}} days
📍 For your pincode {{customer_pincode}}, estimated delivery: {{estimated_days}} working days
✅ Tracking details will be sent via SMS/WhatsApp after order placement.
⚡ Need it faster? Express delivery available for ₹{{express_charges}} extra!
🙏 Har Har Mahadev!</t>
        </is>
      </c>
      <c r="F13" s="14" t="inlineStr">
        <is>
          <t>customer_name, metro_days, tier2_days, other_days, customer_pincode, estimated_days, express_charges</t>
        </is>
      </c>
      <c r="G13" s="14" t="inlineStr">
        <is>
          <t>warm</t>
        </is>
      </c>
      <c r="H13" s="14" t="inlineStr">
        <is>
          <t>both</t>
        </is>
      </c>
    </row>
    <row r="14">
      <c r="A14" s="14" t="inlineStr">
        <is>
          <t>OR_003</t>
        </is>
      </c>
      <c r="B14" s="14" t="inlineStr">
        <is>
          <t>ORDER_RELATED</t>
        </is>
      </c>
      <c r="C14" s="14" t="inlineStr">
        <is>
          <t>shipping_charges</t>
        </is>
      </c>
      <c r="D14" s="15" t="inlineStr">
        <is>
          <t>🙏 Namaste {{customer_name}} ji!
Hamari shipping policy:
🎁 ₹{{free_shipping_threshold}} se upar ke orders par FREE SHIPPING! 🎉
📦 ₹{{free_shipping_threshold}} se neeche ke orders: ₹{{standard_shipping}} shipping charge
⚡ Express delivery: ₹{{express_shipping}} extra
💵 COD orders: ₹{{cod_extra}} additional charge
📍 Hum poore Bharat mein deliver karte hain!
💡 Tip: ₹{{free_shipping_threshold}} ka order karein aur shipping FREE paayein! 🙏</t>
        </is>
      </c>
      <c r="E14" s="15" t="inlineStr">
        <is>
          <t>🙏 Namaste {{customer_name}} Ji!
Our shipping policy:
🎁 FREE SHIPPING on orders above ₹{{free_shipping_threshold}}! 🎉
📦 Below ₹{{free_shipping_threshold}}: ₹{{standard_shipping}} shipping charge
⚡ Express delivery: ₹{{express_shipping}} extra
💵 COD orders: ₹{{cod_extra}} additional charge
📍 We deliver across India!
💡 Tip: Order for ₹{{free_shipping_threshold}} or more to get FREE shipping! 🙏</t>
        </is>
      </c>
      <c r="F14" s="14" t="inlineStr">
        <is>
          <t>customer_name, free_shipping_threshold, standard_shipping, express_shipping, cod_extra</t>
        </is>
      </c>
      <c r="G14" s="14" t="inlineStr">
        <is>
          <t>warm</t>
        </is>
      </c>
      <c r="H14" s="14" t="inlineStr">
        <is>
          <t>both</t>
        </is>
      </c>
    </row>
    <row r="15">
      <c r="A15" s="14" t="inlineStr">
        <is>
          <t>OR_004</t>
        </is>
      </c>
      <c r="B15" s="14" t="inlineStr">
        <is>
          <t>ORDER_RELATED</t>
        </is>
      </c>
      <c r="C15" s="14" t="inlineStr">
        <is>
          <t>order_modification</t>
        </is>
      </c>
      <c r="D15" s="15" t="inlineStr">
        <is>
          <t>🙏 Namaste {{customer_name}} ji!
Aapke order modification request ke baare mein:
📋 Order ID: {{order_id}}
📝 Requested change: {{modification_type}}
{{#if_possible}}✅ Haan ji, yeh change ho sakta hai! Humne aapka order update kar diya hai.
Updated details: {{updated_details}}
Baaki sab same rahega. 🙏{{/if_possible}}
{{#if_not_possible}}⚠️ Maaf kijiye, yeh order already {{order_stage}} stage mein hai, isliye abhi modification possible nahi hai.
🔄 Lekin aap product milne ke baad easy return/exchange kar sakte hain.
Return policy: {{return_policy_link}}
Koi aur madad chahiye toh zaroor batayein! 🙏{{/if_not_possible}}</t>
        </is>
      </c>
      <c r="E15" s="15" t="inlineStr">
        <is>
          <t>🙏 Namaste {{customer_name}} Ji!
Regarding your order modification request:
📋 Order ID: {{order_id}}
📝 Requested change: {{modification_type}}
{{#if_possible}}✅ Yes, this change can be made! We've updated your order.
Updated details: {{updated_details}}
Everything else remains the same. 🙏{{/if_possible}}
{{#if_not_possible}}⚠️ We're sorry, but this order is already in the {{order_stage}} stage, so modification isn't possible at this point.
🔄 However, you can easily return/exchange after delivery.
Return policy: {{return_policy_link}}
Let us know if we can help with anything else! 🙏{{/if_not_possible}}</t>
        </is>
      </c>
      <c r="F15" s="14" t="inlineStr">
        <is>
          <t>customer_name, order_id, modification_type, order_stage, updated_details, return_policy_link</t>
        </is>
      </c>
      <c r="G15" s="14" t="inlineStr">
        <is>
          <t>professional</t>
        </is>
      </c>
      <c r="H15" s="14" t="inlineStr">
        <is>
          <t>dm</t>
        </is>
      </c>
    </row>
    <row r="16">
      <c r="A16" s="14" t="inlineStr">
        <is>
          <t>OR_005</t>
        </is>
      </c>
      <c r="B16" s="14" t="inlineStr">
        <is>
          <t>ORDER_RELATED</t>
        </is>
      </c>
      <c r="C16" s="14" t="inlineStr">
        <is>
          <t>return_exchange</t>
        </is>
      </c>
      <c r="D16" s="15" t="inlineStr">
        <is>
          <t>🙏 Namaste {{customer_name}} ji!
Hamari return/exchange policy:
📅 {{return_window}} din ke andar return/exchange ho sakta hai
📸 Product ki photos DM mein bhejein (original packaging ke saath)
💰 Refund {{refund_timeline}} working days mein original payment method mein
🔄 Exchange ke liye koi extra charge nahi!
📋 Aapka Order ID: {{order_id}}
❓ Return reason: {{return_reason}}
Return initiate karne ke liye:
1. Yeh form fill karein: {{return_form_link}}
2. Ya bas is message ka reply karein 'RETURN'
Hum aapki poori madad karenge! 🙏</t>
        </is>
      </c>
      <c r="E16" s="15" t="inlineStr">
        <is>
          <t>🙏 Namaste {{customer_name}} Ji!
Our return/exchange policy:
📅 Return/exchange within {{return_window}} days of delivery
📸 Please share product photos in DM (with original packaging)
💰 Refund within {{refund_timeline}} working days to original payment method
🔄 No extra charges for exchange!
📋 Your Order ID: {{order_id}}
❓ Return reason: {{return_reason}}
To initiate a return:
1. Fill this form: {{return_form_link}}
2. Or simply reply 'RETURN' to this message
We'll take care of everything! 🙏</t>
        </is>
      </c>
      <c r="F16" s="14" t="inlineStr">
        <is>
          <t>customer_name, return_window, refund_timeline, order_id, return_reason, return_form_link</t>
        </is>
      </c>
      <c r="G16" s="14" t="inlineStr">
        <is>
          <t>professional</t>
        </is>
      </c>
      <c r="H16" s="14" t="inlineStr">
        <is>
          <t>dm</t>
        </is>
      </c>
    </row>
    <row r="17">
      <c r="A17" s="14" t="inlineStr">
        <is>
          <t>OR_006</t>
        </is>
      </c>
      <c r="B17" s="14" t="inlineStr">
        <is>
          <t>ORDER_RELATED</t>
        </is>
      </c>
      <c r="C17" s="14" t="inlineStr">
        <is>
          <t>payment_confirmation</t>
        </is>
      </c>
      <c r="D17" s="15" t="inlineStr">
        <is>
          <t>🙏 Namaste {{customer_name}} ji!
✅ Aapka payment successfully receive ho gaya hai! Dhanyavaad! 🎉
📋 Order Details:
🆔 Order ID: {{order_id}}
💰 Amount: ₹{{amount_paid}}
📅 Payment Date: {{payment_date}}
🔢 Transaction ID: {{transaction_id}}
📦 Aapka order {{processing_time}} mein ship ho jayega.
📩 Tracking details WhatsApp/SMS par bhej diye jayenge.
Aapka vishwas hamare liye bahut maayane rakhta hai! 🙏
~ Divine Hindu Parivar</t>
        </is>
      </c>
      <c r="E17" s="15" t="inlineStr">
        <is>
          <t>🙏 Namaste {{customer_name}} Ji!
✅ Your payment has been successfully received! Thank you! 🎉
📋 Order Details:
🆔 Order ID: {{order_id}}
💰 Amount: ₹{{amount_paid}}
📅 Payment Date: {{payment_date}}
🔢 Transaction ID: {{transaction_id}}
📦 Your order will be shipped within {{processing_time}}.
📩 Tracking details will be sent via WhatsApp/SMS.
Your trust means the world to us! 🙏
~ Divine Hindu Family</t>
        </is>
      </c>
      <c r="F17" s="14" t="inlineStr">
        <is>
          <t>customer_name, order_id, amount_paid, payment_date, transaction_id, processing_time</t>
        </is>
      </c>
      <c r="G17" s="14" t="inlineStr">
        <is>
          <t>warm</t>
        </is>
      </c>
      <c r="H17" s="14" t="inlineStr">
        <is>
          <t>dm</t>
        </is>
      </c>
    </row>
    <row r="18">
      <c r="A18" s="14" t="inlineStr">
        <is>
          <t>CP_001</t>
        </is>
      </c>
      <c r="B18" s="14" t="inlineStr">
        <is>
          <t>COMPLAINTS</t>
        </is>
      </c>
      <c r="C18" s="14" t="inlineStr">
        <is>
          <t>complaint_acknowledgment</t>
        </is>
      </c>
      <c r="D18" s="15" t="inlineStr">
        <is>
          <t>🙏 Namaste {{customer_name}} ji!
Aapki pareshani ke liye hum sachchi taur par maafi chahte hain. 😔
Humne aapki complaint note kar li hai:
📋 Complaint ID: {{complaint_id}}
📝 Issue: {{issue_summary}}
⏰ Humari team {{resolution_time}} ghante ke andar aapko update degi.
👤 Aapke case ko {{assigned_agent}} handle karenge.
Aapka satisfaction hamari pehli priority hai. Hum isse jaldi se jaldi resolve karenge! 🙏
~ Divine Hindu Parivar</t>
        </is>
      </c>
      <c r="E18" s="15" t="inlineStr">
        <is>
          <t>🙏 Namaste {{customer_name}} Ji!
We sincerely apologize for the inconvenience. 😔
We've noted your complaint:
📋 Complaint ID: {{complaint_id}}
📝 Issue: {{issue_summary}}
⏰ Our team will update you within {{resolution_time}} hours.
👤 Your case is being handled by {{assigned_agent}}.
Your satisfaction is our top priority. We'll resolve this at the earliest! 🙏
~ Divine Hindu Family</t>
        </is>
      </c>
      <c r="F18" s="14" t="inlineStr">
        <is>
          <t>customer_name, complaint_id, issue_summary, resolution_time, assigned_agent</t>
        </is>
      </c>
      <c r="G18" s="14" t="inlineStr">
        <is>
          <t>apologetic</t>
        </is>
      </c>
      <c r="H18" s="14" t="inlineStr">
        <is>
          <t>dm</t>
        </is>
      </c>
    </row>
    <row r="19">
      <c r="A19" s="14" t="inlineStr">
        <is>
          <t>CP_002</t>
        </is>
      </c>
      <c r="B19" s="14" t="inlineStr">
        <is>
          <t>COMPLAINTS</t>
        </is>
      </c>
      <c r="C19" s="14" t="inlineStr">
        <is>
          <t>damaged_product</t>
        </is>
      </c>
      <c r="D19" s="15" t="inlineStr">
        <is>
          <t>🙏 Namaste {{customer_name}} ji!
Yeh sunkar bahut dukh hua ki aapko damaged product mila. Hum iske liye sacchi maafi chahte hain! 😔
📋 Order ID: {{order_id}}
📦 Product: {{product_name}}
🔄 Aapke liye do options hain:
1. ✅ FREE replacement — {{replacement_timeline}} mein deliver hoga
2. 💰 Full refund — {{refund_timeline}} working days mein
📸 Kripya damaged product ki 2-3 photos aur unboxing video (agar ho) DM mein bhejein.
⚡ Humne aapki replacement/refund request already initiate kar di hai. Aapko koi extra paisa nahi dena hoga!
🙏 Aapki samajhdari ke liye dhanyavaad!</t>
        </is>
      </c>
      <c r="E19" s="15" t="inlineStr">
        <is>
          <t>🙏 Namaste {{customer_name}} Ji!
We're truly sorry to hear you received a damaged product. We sincerely apologize! 😔
📋 Order ID: {{order_id}}
📦 Product: {{product_name}}
🔄 Here are your options:
1. ✅ FREE replacement — delivered within {{replacement_timeline}}
2. 💰 Full refund — within {{refund_timeline}} working days
📸 Please share 2-3 photos of the damaged product and unboxing video (if available) via DM.
⚡ We've already initiated your replacement/refund. No extra charges at all!
🙏 Thank you for your understanding!</t>
        </is>
      </c>
      <c r="F19" s="14" t="inlineStr">
        <is>
          <t>customer_name, order_id, product_name, replacement_timeline, refund_timeline</t>
        </is>
      </c>
      <c r="G19" s="14" t="inlineStr">
        <is>
          <t>apologetic</t>
        </is>
      </c>
      <c r="H19" s="14" t="inlineStr">
        <is>
          <t>dm</t>
        </is>
      </c>
    </row>
    <row r="20">
      <c r="A20" s="14" t="inlineStr">
        <is>
          <t>CP_003</t>
        </is>
      </c>
      <c r="B20" s="14" t="inlineStr">
        <is>
          <t>COMPLAINTS</t>
        </is>
      </c>
      <c r="C20" s="14" t="inlineStr">
        <is>
          <t>wrong_product_received</t>
        </is>
      </c>
      <c r="D20" s="15" t="inlineStr">
        <is>
          <t>🙏 Namaste {{customer_name}} ji!
Humein bahut afsos hai ki aapko galat product bheja gaya. Yeh hamari taraf se galti hui hai aur iske liye hum maafi chahte hain! 😔
📋 Order ID: {{order_id}}
❌ Jo mila: {{received_product}}
✅ Jo mangya tha: {{ordered_product}}
🔄 Hum abhi yeh kar rahe hain:
1. Sahi product ASAP ship kar rahe hain — {{correct_ship_timeline}}
2. Galat product ki pickup arrange karenge — aapko kahin jaane ki zaroorat nahi
3. Inconvenience ke liye ₹{{compensation_amount}} ka store credit bhi de rahe hain! 🎁
📸 Kripya received product ki photo DM mein share karein.
🙏 Aapke sabar ke liye bahut dhanyavaad!</t>
        </is>
      </c>
      <c r="E20" s="15" t="inlineStr">
        <is>
          <t>🙏 Namaste {{customer_name}} Ji!
We're deeply sorry for sending the wrong product. This was our mistake and we apologize! 😔
📋 Order ID: {{order_id}}
❌ Received: {{received_product}}
✅ Ordered: {{ordered_product}}
🔄 Here's what we're doing:
1. Shipping the correct product ASAP — {{correct_ship_timeline}}
2. Arranging pickup for the wrong product — no need for you to go anywhere
3. Adding ₹{{compensation_amount}} store credit for the inconvenience! 🎁
📸 Please share a photo of the received product via DM.
🙏 Thank you for your patience!</t>
        </is>
      </c>
      <c r="F20" s="14" t="inlineStr">
        <is>
          <t>customer_name, order_id, received_product, ordered_product, correct_ship_timeline, compensation_amount</t>
        </is>
      </c>
      <c r="G20" s="14" t="inlineStr">
        <is>
          <t>apologetic</t>
        </is>
      </c>
      <c r="H20" s="14" t="inlineStr">
        <is>
          <t>dm</t>
        </is>
      </c>
    </row>
    <row r="21">
      <c r="A21" s="14" t="inlineStr">
        <is>
          <t>CP_004</t>
        </is>
      </c>
      <c r="B21" s="14" t="inlineStr">
        <is>
          <t>COMPLAINTS</t>
        </is>
      </c>
      <c r="C21" s="14" t="inlineStr">
        <is>
          <t>delayed_delivery</t>
        </is>
      </c>
      <c r="D21" s="15" t="inlineStr">
        <is>
          <t>🙏 Namaste {{customer_name}} ji!
Aapke order mein delay ke liye hum sacchi maafi chahte hain! 😔
📋 Order ID: {{order_id}}
📅 Original delivery date: {{original_date}}
📅 Revised delivery date: {{revised_date}}
📍 Delay reason: {{delay_reason}}
⚡ Humne courier partner se priority delivery request ki hai.
🔗 Updated tracking: {{tracking_link}}
🎁 Aapke wait ke liye hum aapko {{compensation}} de rahe hain as goodwill gesture.
Agar {{revised_date}} tak delivery nahi hoti, toh humein turant batayein — hum full refund process kar denge! 🙏</t>
        </is>
      </c>
      <c r="E21" s="15" t="inlineStr">
        <is>
          <t>🙏 Namaste {{customer_name}} Ji!
We sincerely apologize for the delay in your order! 😔
📋 Order ID: {{order_id}}
📅 Original delivery date: {{original_date}}
📅 Revised delivery date: {{revised_date}}
📍 Delay reason: {{delay_reason}}
⚡ We've requested priority delivery from our courier partner.
🔗 Updated tracking: {{tracking_link}}
🎁 As a goodwill gesture, we're offering you {{compensation}}.
If delivery doesn't happen by {{revised_date}}, please let us know immediately — we'll process a full refund! 🙏</t>
        </is>
      </c>
      <c r="F21" s="14" t="inlineStr">
        <is>
          <t>customer_name, order_id, original_date, revised_date, delay_reason, tracking_link, compensation</t>
        </is>
      </c>
      <c r="G21" s="14" t="inlineStr">
        <is>
          <t>apologetic</t>
        </is>
      </c>
      <c r="H21" s="14" t="inlineStr">
        <is>
          <t>dm</t>
        </is>
      </c>
    </row>
    <row r="22">
      <c r="A22" s="14" t="inlineStr">
        <is>
          <t>CP_005</t>
        </is>
      </c>
      <c r="B22" s="14" t="inlineStr">
        <is>
          <t>COMPLAINTS</t>
        </is>
      </c>
      <c r="C22" s="14" t="inlineStr">
        <is>
          <t>resolution_confirmation</t>
        </is>
      </c>
      <c r="D22" s="15" t="inlineStr">
        <is>
          <t>🙏 Namaste {{customer_name}} ji!
✅ Humein bahut khushi hai ki aapki issue resolve ho gayi!
📋 Complaint ID: {{complaint_id}}
🔧 Resolution: {{resolution_summary}}
Aapke sabar aur samajhdari ke liye dil se dhanyavaad! 🙏
🎁 Aapke agle order par {{loyalty_discount}}% extra discount! Code: {{discount_code}}
⭐ Agar aap hamare service se khush hain, toh ek chhota sa review dena na bhoolein — hamare liye bahut maayane rakhta hai!
Phir se dhanyavaad! Hum hamesha aapki seva mein taiyaar hain! 🙏
~ Divine Hindu Parivar</t>
        </is>
      </c>
      <c r="E22" s="15" t="inlineStr">
        <is>
          <t>🙏 Namaste {{customer_name}} Ji!
✅ We're so glad your issue has been resolved!
📋 Complaint ID: {{complaint_id}}
🔧 Resolution: {{resolution_summary}}
Thank you so much for your patience and understanding! 🙏
🎁 Enjoy {{loyalty_discount}}% extra discount on your next order! Code: {{discount_code}}
⭐ If you're happy with our service, a small review would mean the world to us!
Thank you again! We're always here to serve you! 🙏
~ Divine Hindu Family</t>
        </is>
      </c>
      <c r="F22" s="14" t="inlineStr">
        <is>
          <t>customer_name, complaint_id, resolution_summary, loyalty_discount, discount_code</t>
        </is>
      </c>
      <c r="G22" s="14" t="inlineStr">
        <is>
          <t>warm</t>
        </is>
      </c>
      <c r="H22" s="14" t="inlineStr">
        <is>
          <t>dm</t>
        </is>
      </c>
    </row>
    <row r="23">
      <c r="A23" s="14" t="inlineStr">
        <is>
          <t>PF_001</t>
        </is>
      </c>
      <c r="B23" s="14" t="inlineStr">
        <is>
          <t>POSITIVE_FEEDBACK</t>
        </is>
      </c>
      <c r="C23" s="14" t="inlineStr">
        <is>
          <t>thank_you_review</t>
        </is>
      </c>
      <c r="D23" s="15" t="inlineStr">
        <is>
          <t>🙏 Dhanyavaad {{customer_name}} ji! Aapke itne pyaare words padh kar dil khush ho gaya! 😊❤️
Aapka review hamari poori team ke liye bahut bada motivation hai. Aapka vishwas hamare liye sab kuch hai! 🙏
⭐ Kya aap Google/Facebook par bhi yeh review share kar sakte hain? Isse aur logon ko bhi madad milegi!
👉 {{review_link}}
🎁 Thank you ke taur par aapke agle order par {{review_discount}}% OFF! Code: {{review_code}}
🙏 Jai Shree Ram! Aapki puja mein Divine Hindu hamesha saath rahega! 🙏</t>
        </is>
      </c>
      <c r="E23" s="15" t="inlineStr">
        <is>
          <t>🙏 Thank you so much {{customer_name}} Ji! Your kind words truly made our day! 😊❤️
Your review is a huge motivation for our entire team. Your trust means everything to us! 🙏
⭐ Would you mind sharing this review on Google/Facebook too? It would help others!
👉 {{review_link}}
🎁 As a thank you, enjoy {{review_discount}}% OFF on your next order! Code: {{review_code}}
🙏 Jai Shree Ram! Divine Hindu will always be with you in your devotion! 🙏</t>
        </is>
      </c>
      <c r="F23" s="14" t="inlineStr">
        <is>
          <t>customer_name, review_link, review_discount, review_code</t>
        </is>
      </c>
      <c r="G23" s="14" t="inlineStr">
        <is>
          <t>enthusiastic</t>
        </is>
      </c>
      <c r="H23" s="14" t="inlineStr">
        <is>
          <t>both</t>
        </is>
      </c>
    </row>
    <row r="24">
      <c r="A24" s="14" t="inlineStr">
        <is>
          <t>PF_002</t>
        </is>
      </c>
      <c r="B24" s="14" t="inlineStr">
        <is>
          <t>POSITIVE_FEEDBACK</t>
        </is>
      </c>
      <c r="C24" s="14" t="inlineStr">
        <is>
          <t>thank_you_photo_video</t>
        </is>
      </c>
      <c r="D24" s="15" t="inlineStr">
        <is>
          <t>🙏 Waah {{customer_name}} ji! Kitni sundar tasveer/video hai! 😍🙏
Aapke ghar mandir mein hamare products dekh kar dil bahut prasann hua! Yeh hamare liye sabse bada aashirvaad hai! ✨
📸 Kya hum yeh photo/video apne page par share kar sakte hain? Aapko credit ke saath tag karenge!
🎁 Photo share karne ke liye special gift: {{photo_reward}}
#DivineHindu #DivineHinduFamily #PoojaRoom
🙏 Aapki bhakti aur vishwas ko pranaam! 🙏</t>
        </is>
      </c>
      <c r="E24" s="15" t="inlineStr">
        <is>
          <t>🙏 Wow {{customer_name}} Ji! What a beautiful photo/video! 😍🙏
Seeing our products in your home temple fills our hearts with joy! This is the biggest blessing for us! ✨
📸 May we share this photo/video on our page? We'll credit and tag you!
🎁 Special gift for sharing: {{photo_reward}}
#DivineHindu #DivineHinduFamily #PoojaRoom
🙏 We bow to your devotion and trust! 🙏</t>
        </is>
      </c>
      <c r="F24" s="14" t="inlineStr">
        <is>
          <t>customer_name, photo_reward</t>
        </is>
      </c>
      <c r="G24" s="14" t="inlineStr">
        <is>
          <t>enthusiastic</t>
        </is>
      </c>
      <c r="H24" s="14" t="inlineStr">
        <is>
          <t>both</t>
        </is>
      </c>
    </row>
    <row r="25">
      <c r="A25" s="14" t="inlineStr">
        <is>
          <t>PF_003</t>
        </is>
      </c>
      <c r="B25" s="14" t="inlineStr">
        <is>
          <t>POSITIVE_FEEDBACK</t>
        </is>
      </c>
      <c r="C25" s="14" t="inlineStr">
        <is>
          <t>thank_you_recommendation</t>
        </is>
      </c>
      <c r="D25" s="15" t="inlineStr">
        <is>
          <t>🙏 {{customer_name}} ji, aapne Divine Hindu ko apne parivaar aur doston ko recommend kiya — isse bada compliment koi nahi ho sakta! 🥰
Aapka vishwas hi hamari sabse badi takat hai! 💪
🎁 Referral reward ke taur par:
• Aapke liye: {{referrer_reward}} store credit
• Aapke dost ke liye: {{referee_reward}} first order par
📤 Apna referral link share karein: {{referral_link}}
Jitne zyada log, utna zyada reward! 🎉🙏</t>
        </is>
      </c>
      <c r="E25" s="15" t="inlineStr">
        <is>
          <t>🙏 {{customer_name}} Ji, you recommended Divine Hindu to your family and friends — there's no bigger compliment than this! 🥰
Your trust is our greatest strength! 💪
🎁 Referral rewards:
• For you: {{referrer_reward}} store credit
• For your friend: {{referee_reward}} on their first order
📤 Share your referral link: {{referral_link}}
More referrals = more rewards! 🎉🙏</t>
        </is>
      </c>
      <c r="F25" s="14" t="inlineStr">
        <is>
          <t>customer_name, referrer_reward, referee_reward, referral_link</t>
        </is>
      </c>
      <c r="G25" s="14" t="inlineStr">
        <is>
          <t>enthusiastic</t>
        </is>
      </c>
      <c r="H25" s="14" t="inlineStr">
        <is>
          <t>both</t>
        </is>
      </c>
    </row>
    <row r="26">
      <c r="A26" s="14" t="inlineStr">
        <is>
          <t>PF_004</t>
        </is>
      </c>
      <c r="B26" s="14" t="inlineStr">
        <is>
          <t>POSITIVE_FEEDBACK</t>
        </is>
      </c>
      <c r="C26" s="14" t="inlineStr">
        <is>
          <t>festival_greeting_response</t>
        </is>
      </c>
      <c r="D26" s="15" t="inlineStr">
        <is>
          <t>🙏 {{customer_name}} ji, aapko bhi {{festival_name}} ki hardik shubhkamnayein! 🎉✨
Is {{festival_name}} par Bhagwan aapke ghar sukh, samriddhi aur khushiyan laayein! 🙏🪔
🎁 {{festival_name}} Special Offer:
{{festival_offer}}
📅 Valid till: {{offer_validity}}
🛒 Shop now: {{festival_collection_link}}
{{festival_blessing}} 🙏✨
~ Divine Hindu Parivar</t>
        </is>
      </c>
      <c r="E26" s="15" t="inlineStr">
        <is>
          <t>🙏 {{customer_name}} Ji, wishing you a very Happy {{festival_name}}! 🎉✨
May the blessings of the Divine bring prosperity, joy, and happiness to your home! 🙏🪔
🎁 {{festival_name}} Special Offer:
{{festival_offer}}
📅 Valid till: {{offer_validity}}
🛒 Shop now: {{festival_collection_link}}
{{festival_blessing}} 🙏✨
~ Divine Hindu Family</t>
        </is>
      </c>
      <c r="F26" s="14" t="inlineStr">
        <is>
          <t>customer_name, festival_name, festival_offer, offer_validity, festival_collection_link, festival_blessing</t>
        </is>
      </c>
      <c r="G26" s="14" t="inlineStr">
        <is>
          <t>warm</t>
        </is>
      </c>
      <c r="H26" s="14" t="inlineStr">
        <is>
          <t>both</t>
        </is>
      </c>
    </row>
    <row r="27">
      <c r="A27" s="14" t="inlineStr">
        <is>
          <t>SC_001</t>
        </is>
      </c>
      <c r="B27" s="14" t="inlineStr">
        <is>
          <t>SALES_CONVERSION</t>
        </is>
      </c>
      <c r="C27" s="14" t="inlineStr">
        <is>
          <t>first_time_buyer_nudge</t>
        </is>
      </c>
      <c r="D27" s="15" t="inlineStr">
        <is>
          <t>🙏 Namaste {{customer_name}} ji! Divine Hindu mein aapka swagat hai! 🎉
Pehli baar ke customers ke liye humari taraf se special welcome offer:
🎁 {{first_order_discount}}% OFF on your first order!
🎟️ Code: {{welcome_code}}
📅 Valid for next {{code_validity}} days
🚚 FREE shipping on first order!
🔥 Humari bestsellers:
1. {{bestseller_1}} — ₹{{bs1_price}}
2. {{bestseller_2}} — ₹{{bs2_price}}
3. {{bestseller_3}} — ₹{{bs3_price}}
🛒 Abhi order karein: {{shop_link}}
Koi sawaal ho toh DM mein zaroor poochiye! Hum aapki seva mein hain! 🙏</t>
        </is>
      </c>
      <c r="E27" s="15" t="inlineStr">
        <is>
          <t>🙏 Namaste {{customer_name}} Ji! Welcome to Divine Hindu! 🎉
Special welcome offer for first-time customers:
🎁 {{first_order_discount}}% OFF on your first order!
🎟️ Code: {{welcome_code}}
📅 Valid for the next {{code_validity}} days
🚚 FREE shipping on your first order!
🔥 Our bestsellers:
1. {{bestseller_1}} — ₹{{bs1_price}}
2. {{bestseller_2}} — ₹{{bs2_price}}
3. {{bestseller_3}} — ₹{{bs3_price}}
🛒 Shop now: {{shop_link}}
Got questions? DM us anytime! We're here to help! 🙏</t>
        </is>
      </c>
      <c r="F27" s="14" t="inlineStr">
        <is>
          <t>customer_name, first_order_discount, welcome_code, code_validity, bestseller_1, bs1_price, bestseller_2, bs2_price, bestseller_3, bs3_price, shop_link</t>
        </is>
      </c>
      <c r="G27" s="14" t="inlineStr">
        <is>
          <t>enthusiastic</t>
        </is>
      </c>
      <c r="H27" s="14" t="inlineStr">
        <is>
          <t>both</t>
        </is>
      </c>
    </row>
    <row r="28">
      <c r="A28" s="14" t="inlineStr">
        <is>
          <t>SC_002</t>
        </is>
      </c>
      <c r="B28" s="14" t="inlineStr">
        <is>
          <t>SALES_CONVERSION</t>
        </is>
      </c>
      <c r="C28" s="14" t="inlineStr">
        <is>
          <t>cart_abandonment_followup</t>
        </is>
      </c>
      <c r="D28" s="15" t="inlineStr">
        <is>
          <t>🙏 Namaste {{customer_name}} ji!
Aapne {{product_name}} apne cart mein rakha tha — kahin bhool toh nahi gaye? 😊
Humein pata hai, kabhi kabhi sochne mein waqt lagta hai. Isliye aapke liye ek special incentive:
🎁 Extra {{cart_discount}}% OFF sirf aapke liye!
🎟️ Code: {{cart_code}}
⏰ Sirf {{cart_code_validity}} ghante valid!
💰 Aapki savings:
   Original: ₹{{original_price}}
   Discount ke baad: ₹{{discounted_price}}
   Aap bachayenge: ₹{{savings}}! 🎉
🛒 Cart par wapas jayein: {{cart_link}}
Yeh offer limited hai — jaldi karein! 🙏</t>
        </is>
      </c>
      <c r="E28" s="15" t="inlineStr">
        <is>
          <t>🙏 Namaste {{customer_name}} Ji!
You added {{product_name}} to your cart — don't forget about it! 😊
We understand, sometimes you need time to decide. Here's a special incentive just for you:
🎁 Extra {{cart_discount}}% OFF exclusively for you!
🎟️ Code: {{cart_code}}
⏰ Valid for only {{cart_code_validity}} hours!
💰 Your savings:
   Original: ₹{{original_price}}
   After discount: ₹{{discounted_price}}
   You save: ₹{{savings}}! 🎉
🛒 Go back to your cart: {{cart_link}}
This offer is limited — grab it now! 🙏</t>
        </is>
      </c>
      <c r="F28" s="14" t="inlineStr">
        <is>
          <t>customer_name, product_name, cart_discount, cart_code, cart_code_validity, original_price, discounted_price, savings, cart_link</t>
        </is>
      </c>
      <c r="G28" s="14" t="inlineStr">
        <is>
          <t>warm</t>
        </is>
      </c>
      <c r="H28" s="14" t="inlineStr">
        <is>
          <t>dm</t>
        </is>
      </c>
    </row>
    <row r="29">
      <c r="A29" s="14" t="inlineStr">
        <is>
          <t>SC_003</t>
        </is>
      </c>
      <c r="B29" s="14" t="inlineStr">
        <is>
          <t>SALES_CONVERSION</t>
        </is>
      </c>
      <c r="C29" s="14" t="inlineStr">
        <is>
          <t>festive_season_offer</t>
        </is>
      </c>
      <c r="D29" s="15" t="inlineStr">
        <is>
          <t>🙏 Namaste {{customer_name}} ji! 🪔✨
🎉 {{festival_name}} MEGA SALE aa gaya hai Divine Hindu par!
🔥 Special Offers:
🏷️ Flat {{festival_discount}}% OFF on everything!
🎁 ₹{{free_gift_threshold}}+ ke order par FREE {{free_gift_item}}!
🚚 FREE shipping — koi minimum nahi!
📦 Special {{festival_name}} gift wrapping!
🌟 {{festival_name}} Special Collection:
• {{special_product_1}}
• {{special_product_2}}
• {{special_product_3}}
⏰ Sale ends: {{sale_end_date}}
🛒 Shop now: {{festival_shop_link}}
🎟️ Extra {{extra_coupon}}% OFF code: {{festival_code}}
Is baar {{festival_name}} Divine Hindu ke saath manayein! 🙏🪔</t>
        </is>
      </c>
      <c r="E29" s="15" t="inlineStr">
        <is>
          <t>🙏 Namaste {{customer_name}} Ji! 🪔✨
🎉 {{festival_name}} MEGA SALE is here at Divine Hindu!
🔥 Special Offers:
🏷️ Flat {{festival_discount}}% OFF on everything!
🎁 FREE {{free_gift_item}} on orders above ₹{{free_gift_threshold}}!
🚚 FREE shipping — no minimum!
📦 Special {{festival_name}} gift wrapping!
🌟 {{festival_name}} Special Collection:
• {{special_product_1}}
• {{special_product_2}}
• {{special_product_3}}
⏰ Sale ends: {{sale_end_date}}
🛒 Shop now: {{festival_shop_link}}
🎟️ Extra {{extra_coupon}}% OFF code: {{festival_code}}
Celebrate {{festival_name}} with Divine Hindu! 🙏🪔</t>
        </is>
      </c>
      <c r="F29" s="14" t="inlineStr">
        <is>
          <t>customer_name, festival_name, festival_discount, free_gift_threshold, free_gift_item, special_product_1, special_product_2, special_product_3, sale_end_date, festival_shop_link, extra_coupon, festival_code</t>
        </is>
      </c>
      <c r="G29" s="14" t="inlineStr">
        <is>
          <t>enthusiastic</t>
        </is>
      </c>
      <c r="H29" s="14" t="inlineStr">
        <is>
          <t>both</t>
        </is>
      </c>
    </row>
    <row r="30">
      <c r="A30" s="14" t="inlineStr">
        <is>
          <t>SC_004</t>
        </is>
      </c>
      <c r="B30" s="14" t="inlineStr">
        <is>
          <t>SALES_CONVERSION</t>
        </is>
      </c>
      <c r="C30" s="14" t="inlineStr">
        <is>
          <t>repeat_customer_appreciation</t>
        </is>
      </c>
      <c r="D30" s="15" t="inlineStr">
        <is>
          <t>🙏 Namaste {{customer_name}} ji! Aapko wapas dekh kar bahut khushi hui! 😊🎉
Aap Divine Hindu ke sabse pyaare customers mein se hain — aapka {{order_count}}th order! 🌟
🎁 Loyal customer special benefits:
• {{loyalty_discount}}% extra discount on this order!
• Early access to new products
• Priority shipping — FREE!
• {{loyalty_points}} bonus loyalty points credited!
🎟️ Aapka exclusive code: {{loyalty_code}}
🛒 Kya add karna chahenge is baar?
{{suggested_products}}
Aapka vishwas aur pyaar hi hamari takat hai! 🙏❤️
~ Divine Hindu Parivar</t>
        </is>
      </c>
      <c r="E30" s="15" t="inlineStr">
        <is>
          <t>🙏 Namaste {{customer_name}} Ji! So wonderful to see you back! 😊🎉
You're one of our most beloved customers — this is your {{order_count}}th order! 🌟
🎁 Loyal customer special benefits:
• {{loyalty_discount}}% extra discount on this order!
• Early access to new products
• Priority shipping — FREE!
• {{loyalty_points}} bonus loyalty points credited!
🎟️ Your exclusive code: {{loyalty_code}}
🛒 What would you like to add this time?
{{suggested_products}}
Your trust and love are our greatest strength! 🙏❤️
~ Divine Hindu Family</t>
        </is>
      </c>
      <c r="F30" s="14" t="inlineStr">
        <is>
          <t>customer_name, order_count, loyalty_discount, loyalty_points, loyalty_code, suggested_products</t>
        </is>
      </c>
      <c r="G30" s="14" t="inlineStr">
        <is>
          <t>warm</t>
        </is>
      </c>
      <c r="H30" s="14" t="inlineStr">
        <is>
          <t>dm</t>
        </is>
      </c>
    </row>
    <row r="31">
      <c r="A31" s="14" t="inlineStr">
        <is>
          <t>CL_001</t>
        </is>
      </c>
      <c r="B31" s="14" t="inlineStr">
        <is>
          <t>COLLABORATION</t>
        </is>
      </c>
      <c r="C31" s="14" t="inlineStr">
        <is>
          <t>influencer_inquiry</t>
        </is>
      </c>
      <c r="D31" s="15" t="inlineStr">
        <is>
          <t>🙏 Namaste {{influencer_name}} ji!
Divine Hindu ke saath collaborate karne mein interest dikhane ke liye dhanyavaad! 🙏
Humein aapka content bahut pasand hai aur hum aapke saath kaam karna chahenge! 🤝
📋 Aage badhne ke liye kripya yeh share karein:
1. Aapki social media handles aur follower count
2. Content niche aur audience demographics
3. Pichle brand collaborations ke examples
4. Aapki rate card / expectations
📧 Ya direct email karein: {{collab_email}}
Humari team {{collab_response_time}} mein aapko detailed proposal bhejegi! 🙏</t>
        </is>
      </c>
      <c r="E31" s="15" t="inlineStr">
        <is>
          <t>🙏 Namaste {{influencer_name}} Ji!
Thank you for showing interest in collaborating with Divine Hindu! 🙏
We love your content and would be interested in working together! 🤝
📋 To move forward, please share:
1. Your social media handles and follower count
2. Content niche and audience demographics
3. Examples of past brand collaborations
4. Your rate card / expectations
📧 Or email us directly: {{collab_email}}
Our team will send you a detailed proposal within {{collab_response_time}}! 🙏</t>
        </is>
      </c>
      <c r="F31" s="14" t="inlineStr">
        <is>
          <t>influencer_name, collab_email, collab_response_time</t>
        </is>
      </c>
      <c r="G31" s="14" t="inlineStr">
        <is>
          <t>professional</t>
        </is>
      </c>
      <c r="H31" s="14" t="inlineStr">
        <is>
          <t>dm</t>
        </is>
      </c>
    </row>
    <row r="32">
      <c r="A32" s="14" t="inlineStr">
        <is>
          <t>CL_002</t>
        </is>
      </c>
      <c r="B32" s="14" t="inlineStr">
        <is>
          <t>COLLABORATION</t>
        </is>
      </c>
      <c r="C32" s="14" t="inlineStr">
        <is>
          <t>brand_collaboration</t>
        </is>
      </c>
      <c r="D32" s="15" t="inlineStr">
        <is>
          <t>🙏 Namaste {{contact_name}} ji!
{{brand_name}} ke saath collaboration proposal ke liye dhanyavaad! 🤝
Divine Hindu hamesha meaningful brand partnerships mein interested rehta hai jo hamare customers ke liye value add karein.
📋 Kripya yeh details share karein:
1. Aapki company/brand ka brief intro
2. Collaboration ka idea/concept
3. Expected timeline
4. Mutual benefits ka outline
📧 Humari business team se connect karein:
   Email: {{business_email}}
   Phone: {{business_phone}}
👤 Humari partnerships head {{partnerships_head}} aapse {{meeting_timeline}} mein connect karenge.
🙏 Dhanyavaad!</t>
        </is>
      </c>
      <c r="E32" s="15" t="inlineStr">
        <is>
          <t>🙏 Namaste {{contact_name}} Ji!
Thank you for the collaboration proposal with {{brand_name}}! 🤝
Divine Hindu is always interested in meaningful brand partnerships that add value for our customers.
📋 Please share the following:
1. Brief intro about your company/brand
2. Collaboration idea/concept
3. Expected timeline
4. Outline of mutual benefits
📧 Connect with our business team:
   Email: {{business_email}}
   Phone: {{business_phone}}
👤 Our partnerships head {{partnerships_head}} will connect with you within {{meeting_timeline}}.
🙏 Thank you!</t>
        </is>
      </c>
      <c r="F32" s="14" t="inlineStr">
        <is>
          <t>contact_name, brand_name, business_email, business_phone, partnerships_head, meeting_timeline</t>
        </is>
      </c>
      <c r="G32" s="14" t="inlineStr">
        <is>
          <t>professional</t>
        </is>
      </c>
      <c r="H32" s="14" t="inlineStr">
        <is>
          <t>dm</t>
        </is>
      </c>
    </row>
    <row r="33">
      <c r="A33" s="14" t="inlineStr">
        <is>
          <t>CL_003</t>
        </is>
      </c>
      <c r="B33" s="14" t="inlineStr">
        <is>
          <t>COLLABORATION</t>
        </is>
      </c>
      <c r="C33" s="14" t="inlineStr">
        <is>
          <t>collaboration_rejection</t>
        </is>
      </c>
      <c r="D33" s="15" t="inlineStr">
        <is>
          <t>🙏 Namaste {{contact_name}} ji!
Aapne Divine Hindu ke saath collaborate karne mein interest dikhaya, uske liye bahut dhanyavaad! 🙏
Humne aapki profile/proposal carefully review ki. Is waqt hum {{rejection_reason}} ke kaaran aage nahi badh pa rahe hain.
Lekin iska matlab yeh nahi ki future mein possible nahi hai! 🤝
📌 Hum aapki details apne records mein rakh rahe hain.
📅 {{future_timeline}} mein hum phir se evaluate karenge.
📧 Tab tak aap {{collab_email}} par humse connected reh sakte hain.
Aapko shubhkamnayein aur aapke content ke liye all the best! 🙏✨</t>
        </is>
      </c>
      <c r="E33" s="15" t="inlineStr">
        <is>
          <t>🙏 Namaste {{contact_name}} Ji!
Thank you so much for showing interest in collaborating with Divine Hindu! 🙏
We've carefully reviewed your profile/proposal. At this time, we're unable to move forward due to {{rejection_reason}}.
However, this doesn't mean it's not possible in the future! 🤝
📌 We're keeping your details in our records.
📅 We'll re-evaluate in {{future_timeline}}.
📧 Meanwhile, stay connected via {{collab_email}}.
Wishing you all the best with your content/brand! 🙏✨</t>
        </is>
      </c>
      <c r="F33" s="14" t="inlineStr">
        <is>
          <t>contact_name, rejection_reason, future_timeline, collab_email</t>
        </is>
      </c>
      <c r="G33" s="14" t="inlineStr">
        <is>
          <t>professional</t>
        </is>
      </c>
      <c r="H33" s="14" t="inlineStr">
        <is>
          <t>dm</t>
        </is>
      </c>
    </row>
    <row r="34">
      <c r="A34" s="14" t="inlineStr">
        <is>
          <t>GN_001</t>
        </is>
      </c>
      <c r="B34" s="14" t="inlineStr">
        <is>
          <t>GENERAL</t>
        </is>
      </c>
      <c r="C34" s="14" t="inlineStr">
        <is>
          <t>welcome_message</t>
        </is>
      </c>
      <c r="D34" s="15" t="inlineStr">
        <is>
          <t>🙏 Namaste! Divine Hindu mein aapka haardik swagat hai! 🙏✨
Hum premium quality ke Hindu dharmik products — moortiyan, puja samagri, rudraksha, yantra, aur bahut kuch — aapke ghar tak pahunchate hain.
🛍️ Aap humse kya pooch sakte hain:
• 📦 Product jaankari aur prices
• 🚚 Order tracking aur delivery status
• 🔄 Returns aur exchanges
• 🎁 Offers aur discounts
💬 Bas apna sawaal type karein, hum turant madad karenge!
📱 Hamara catalog: {{catalog_link}}
🌐 Website: {{website_link}}
🙏 Har Har Mahadev! 🙏</t>
        </is>
      </c>
      <c r="E34" s="15" t="inlineStr">
        <is>
          <t>🙏 Namaste! Welcome to Divine Hindu! 🙏✨
We deliver premium quality Hindu religious products — idols, puja samagri, rudraksha, yantras, and much more — right to your doorstep.
🛍️ You can ask us about:
• 📦 Product information and prices
• 🚚 Order tracking and delivery status
• 🔄 Returns and exchanges
• 🎁 Offers and discounts
💬 Just type your question and we'll help you right away!
📱 Our catalog: {{catalog_link}}
🌐 Website: {{website_link}}
🙏 Har Har Mahadev! 🙏</t>
        </is>
      </c>
      <c r="F34" s="14" t="inlineStr">
        <is>
          <t>catalog_link, website_link</t>
        </is>
      </c>
      <c r="G34" s="14" t="inlineStr">
        <is>
          <t>warm</t>
        </is>
      </c>
      <c r="H34" s="14" t="inlineStr">
        <is>
          <t>both</t>
        </is>
      </c>
    </row>
    <row r="35">
      <c r="A35" s="14" t="inlineStr">
        <is>
          <t>GN_002</t>
        </is>
      </c>
      <c r="B35" s="14" t="inlineStr">
        <is>
          <t>GENERAL</t>
        </is>
      </c>
      <c r="C35" s="14" t="inlineStr">
        <is>
          <t>business_hours_info</t>
        </is>
      </c>
      <c r="D35" s="15" t="inlineStr">
        <is>
          <t>🙏 Namaste {{customer_name}} ji!
Divine Hindu ki timings:
💬 Chat Support (Instagram/Facebook DM):
   🟢 Mon-Sat: {{chat_start}} - {{chat_end}}
   🟡 Sunday: {{sunday_hours}}
📞 Phone Support:
   ☎️ {{phone_number}}
   🕐 Mon-Sat: {{phone_start}} - {{phone_end}}
📧 Email Support:
   ✉️ {{support_email}}
   ⏰ Response time: {{email_response_time}}
🤖 After hours mein bhi aap message chhodh sakte hain — hum next working day mein zaroor reply karenge!
🙏 Aapki seva mein hamesha taiyaar!</t>
        </is>
      </c>
      <c r="E35" s="15" t="inlineStr">
        <is>
          <t>🙏 Namaste {{customer_name}} Ji!
Divine Hindu support hours:
💬 Chat Support (Instagram/Facebook DM):
   🟢 Mon-Sat: {{chat_start}} - {{chat_end}}
   🟡 Sunday: {{sunday_hours}}
📞 Phone Support:
   ☎️ {{phone_number}}
   🕐 Mon-Sat: {{phone_start}} - {{phone_end}}
📧 Email Support:
   ✉️ {{support_email}}
   ⏰ Response time: {{email_response_time}}
🤖 You can leave a message after hours — we'll respond on the next working day!
🙏 Always ready to serve you!</t>
        </is>
      </c>
      <c r="F35" s="14" t="inlineStr">
        <is>
          <t>customer_name, chat_start, chat_end, sunday_hours, phone_number, phone_start, phone_end, support_email, email_response_time</t>
        </is>
      </c>
      <c r="G35" s="14" t="inlineStr">
        <is>
          <t>professional</t>
        </is>
      </c>
      <c r="H35" s="14" t="inlineStr">
        <is>
          <t>both</t>
        </is>
      </c>
    </row>
    <row r="36">
      <c r="A36" s="14" t="inlineStr">
        <is>
          <t>GN_003</t>
        </is>
      </c>
      <c r="B36" s="14" t="inlineStr">
        <is>
          <t>GENERAL</t>
        </is>
      </c>
      <c r="C36" s="14" t="inlineStr">
        <is>
          <t>website_store_redirect</t>
        </is>
      </c>
      <c r="D36" s="15" t="inlineStr">
        <is>
          <t>🙏 Namaste {{customer_name}} ji!
Aap Divine Hindu se yahan order kar sakte hain:
🌐 Website: {{website_link}}
📱 Instagram Shop: {{instagram_shop_link}}
📘 Facebook Shop: {{facebook_shop_link}}
💬 WhatsApp par order: {{whatsapp_link}}
🛒 Website par order karna sabse aasaan hai:
1. Product choose karein
2. Cart mein add karein
3. Checkout par payment karein
4. Done! Tracking details aa jayenge! ✅
💡 Pehli baar? Code {{welcome_code}} use karein aur {{welcome_discount}}% OFF paayein!
🙏 Happy Shopping!</t>
        </is>
      </c>
      <c r="E36" s="15" t="inlineStr">
        <is>
          <t>🙏 Namaste {{customer_name}} Ji!
You can order from Divine Hindu here:
🌐 Website: {{website_link}}
📱 Instagram Shop: {{instagram_shop_link}}
📘 Facebook Shop: {{facebook_shop_link}}
💬 Order via WhatsApp: {{whatsapp_link}}
🛒 Ordering on our website is the easiest:
1. Choose your product
2. Add to cart
3. Pay at checkout
4. Done! Tracking details will be sent! ✅
💡 First time? Use code {{welcome_code}} for {{welcome_discount}}% OFF!
🙏 Happy Shopping!</t>
        </is>
      </c>
      <c r="F36" s="14" t="inlineStr">
        <is>
          <t>customer_name, website_link, instagram_shop_link, facebook_shop_link, whatsapp_link, welcome_code, welcome_discount</t>
        </is>
      </c>
      <c r="G36" s="14" t="inlineStr">
        <is>
          <t>warm</t>
        </is>
      </c>
      <c r="H36" s="14" t="inlineStr">
        <is>
          <t>both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cols>
    <col width="12" customWidth="1" min="1" max="1"/>
    <col width="17" customWidth="1" min="2" max="2"/>
    <col width="12" customWidth="1" min="3" max="3"/>
    <col width="20" customWidth="1" min="4" max="4"/>
    <col width="18" customWidth="1" min="5" max="5"/>
    <col width="12" customWidth="1" min="6" max="6"/>
    <col width="13" customWidth="1" min="7" max="7"/>
    <col width="15" customWidth="1" min="8" max="8"/>
    <col width="13" customWidth="1" min="9" max="9"/>
  </cols>
  <sheetData>
    <row r="1">
      <c r="A1" s="13" t="inlineStr">
        <is>
          <t>Date</t>
        </is>
      </c>
      <c r="B1" s="13" t="inlineStr">
        <is>
          <t>Total Comments</t>
        </is>
      </c>
      <c r="C1" s="13" t="inlineStr">
        <is>
          <t>Total DMs</t>
        </is>
      </c>
      <c r="D1" s="13" t="inlineStr">
        <is>
          <t>Avg Response Time</t>
        </is>
      </c>
      <c r="E1" s="13" t="inlineStr">
        <is>
          <t>Auto-Resolved %</t>
        </is>
      </c>
      <c r="F1" s="13" t="inlineStr">
        <is>
          <t>Hot Leads</t>
        </is>
      </c>
      <c r="G1" s="13" t="inlineStr">
        <is>
          <t>Complaints</t>
        </is>
      </c>
      <c r="H1" s="13" t="inlineStr">
        <is>
          <t>Spam Cleaned</t>
        </is>
      </c>
      <c r="I1" s="13" t="inlineStr">
        <is>
          <t>AI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3" customWidth="1" min="1" max="1"/>
    <col width="25" customWidth="1" min="2" max="2"/>
    <col width="47" customWidth="1" min="3" max="3"/>
  </cols>
  <sheetData>
    <row r="1">
      <c r="A1" s="16" t="inlineStr">
        <is>
          <t>Configuration Key</t>
        </is>
      </c>
      <c r="B1" s="16" t="inlineStr">
        <is>
          <t>Value</t>
        </is>
      </c>
      <c r="C1" s="16" t="inlineStr">
        <is>
          <t>Description</t>
        </is>
      </c>
    </row>
    <row r="2">
      <c r="A2" s="17" t="inlineStr">
        <is>
          <t>Last Processed Comment ID (IG)</t>
        </is>
      </c>
      <c r="B2" s="11" t="inlineStr"/>
      <c r="C2" s="11" t="inlineStr">
        <is>
          <t>Automatically updated by n8n</t>
        </is>
      </c>
    </row>
    <row r="3">
      <c r="A3" s="17" t="inlineStr">
        <is>
          <t>Last Processed Comment ID (FB)</t>
        </is>
      </c>
      <c r="B3" s="11" t="inlineStr"/>
      <c r="C3" s="11" t="inlineStr">
        <is>
          <t>Automatically updated by n8n</t>
        </is>
      </c>
    </row>
    <row r="4">
      <c r="A4" s="17" t="inlineStr">
        <is>
          <t>Last Processed DM Timestamp</t>
        </is>
      </c>
      <c r="B4" s="11" t="inlineStr"/>
      <c r="C4" s="11" t="inlineStr">
        <is>
          <t>Automatically updated by n8n</t>
        </is>
      </c>
    </row>
    <row r="5">
      <c r="A5" s="17" t="inlineStr">
        <is>
          <t>Team Members</t>
        </is>
      </c>
      <c r="B5" s="11" t="inlineStr">
        <is>
          <t>Aarav, Priya, Rohan</t>
        </is>
      </c>
      <c r="C5" s="11" t="inlineStr">
        <is>
          <t>Comma-separated list of handlers</t>
        </is>
      </c>
    </row>
    <row r="6">
      <c r="A6" s="17" t="inlineStr">
        <is>
          <t>Alert Email</t>
        </is>
      </c>
      <c r="B6" s="11" t="inlineStr">
        <is>
          <t>manager@divinehindu.in</t>
        </is>
      </c>
      <c r="C6" s="11" t="inlineStr">
        <is>
          <t>Recipients of escalation alerts</t>
        </is>
      </c>
    </row>
    <row r="7">
      <c r="A7" s="17" t="inlineStr">
        <is>
          <t>Support Phone</t>
        </is>
      </c>
      <c r="B7" s="11" t="inlineStr">
        <is>
          <t>+91-9876543210</t>
        </is>
      </c>
      <c r="C7" s="11" t="inlineStr">
        <is>
          <t>Displayed in customer replies</t>
        </is>
      </c>
    </row>
    <row r="8">
      <c r="A8" s="17" t="inlineStr">
        <is>
          <t>Min Bulk Quantity</t>
        </is>
      </c>
      <c r="B8" s="11" t="n">
        <v>50</v>
      </c>
      <c r="C8" s="11" t="inlineStr">
        <is>
          <t>Minimum units threshold for bulk rates</t>
        </is>
      </c>
    </row>
    <row r="9">
      <c r="A9" s="17" t="inlineStr">
        <is>
          <t>Free Shipping Threshold</t>
        </is>
      </c>
      <c r="B9" s="11" t="n">
        <v>999</v>
      </c>
      <c r="C9" s="11" t="inlineStr">
        <is>
          <t>Min order amount in rupees for free shipping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2026-06-18T17:10:03Z</dcterms:created>
  <dcterms:modified xmlns:dcterms="http://purl.org/dc/terms/" xmlns:xsi="http://www.w3.org/2001/XMLSchema-instance" xsi:type="dcterms:W3CDTF">2026-06-18T17:10:03Z</dcterms:modified>
</cp:coreProperties>
</file>