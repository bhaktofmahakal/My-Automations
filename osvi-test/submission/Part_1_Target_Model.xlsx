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e Case Revenue Ramp" sheetId="2" state="visible" r:id="rId2"/>
    <sheet xmlns:r="http://schemas.openxmlformats.org/officeDocument/2006/relationships" name="Outbound Funnel Math" sheetId="3" state="visible" r:id="rId3"/>
    <sheet xmlns:r="http://schemas.openxmlformats.org/officeDocument/2006/relationships" name="Sensitivity Analysis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"/>
    <numFmt numFmtId="165" formatCode="0.0%"/>
    <numFmt numFmtId="166" formatCode=".000"/>
    <numFmt numFmtId="167" formatCode="$#,##0"/>
  </numFmts>
  <fonts count="6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i val="1"/>
      <color rgb="FF595959"/>
      <sz val="11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3" fontId="5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49" fontId="4" fillId="0" borderId="0" pivotButton="0" quotePrefix="0" xfId="0"/>
    <xf numFmtId="49" fontId="5" fillId="0" borderId="0" pivotButton="0" quotePrefix="0" xfId="0"/>
    <xf numFmtId="3" fontId="0" fillId="0" borderId="0" pivotButton="0" quotePrefix="0" xfId="0"/>
    <xf numFmtId="167" fontId="4" fillId="0" borderId="0" pivotButton="0" quotePrefix="0" xfId="0"/>
    <xf numFmtId="1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E15" sqref="E15"/>
    </sheetView>
  </sheetViews>
  <sheetFormatPr baseColWidth="8" defaultRowHeight="14.4"/>
  <cols>
    <col width="30.33203125" customWidth="1" min="1" max="1"/>
    <col width="47.44140625" customWidth="1" min="2" max="2"/>
    <col width="46.33203125" customWidth="1" min="3" max="3"/>
  </cols>
  <sheetData>
    <row r="1" ht="21" customHeight="1">
      <c r="A1" s="1" t="inlineStr">
        <is>
          <t>Osvi AI — US QSR GTM Target Strategy (6-Month Model)</t>
        </is>
      </c>
    </row>
    <row r="2">
      <c r="A2" s="2" t="inlineStr">
        <is>
          <t>Target: $100,000 Cumulative Recognized Revenue in 6 Months | Beachhead: Mid-Size Franchise Groups (5-50 Stores)</t>
        </is>
      </c>
    </row>
    <row r="4">
      <c r="A4" s="3" t="inlineStr">
        <is>
          <t>Metric</t>
        </is>
      </c>
      <c r="B4" s="3" t="inlineStr">
        <is>
          <t>Model Value</t>
        </is>
      </c>
      <c r="C4" s="3" t="inlineStr">
        <is>
          <t>Notes / Benchmark</t>
        </is>
      </c>
    </row>
    <row r="5">
      <c r="A5" s="4" t="inlineStr">
        <is>
          <t>Target Revenue (6-Mo)</t>
        </is>
      </c>
      <c r="B5" s="5" t="n">
        <v>100000</v>
      </c>
    </row>
    <row r="6">
      <c r="A6" s="4" t="inlineStr">
        <is>
          <t>Model Recognized Revenue</t>
        </is>
      </c>
      <c r="B6" s="5">
        <f>'Base Case Revenue Ramp'!G18</f>
        <v/>
      </c>
    </row>
    <row r="7">
      <c r="A7" s="4" t="inlineStr">
        <is>
          <t>Target Achievement Buffer</t>
        </is>
      </c>
      <c r="B7" s="6">
        <f>(B6-B5)/B5</f>
        <v/>
      </c>
    </row>
    <row r="8">
      <c r="A8" s="4" t="inlineStr">
        <is>
          <t>Month 6 Active Stores</t>
        </is>
      </c>
      <c r="B8" s="7">
        <f>'Base Case Revenue Ramp'!D18</f>
        <v/>
      </c>
    </row>
    <row r="9">
      <c r="A9" s="4" t="inlineStr">
        <is>
          <t>Month 6 MRR</t>
        </is>
      </c>
      <c r="B9" s="5">
        <f>'Base Case Revenue Ramp'!F18</f>
        <v/>
      </c>
    </row>
    <row r="10">
      <c r="A10" s="4" t="inlineStr">
        <is>
          <t>Average Account ACV</t>
        </is>
      </c>
      <c r="B10" s="5" t="n">
        <v>21600</v>
      </c>
    </row>
    <row r="11">
      <c r="A11" s="4" t="inlineStr">
        <is>
          <t>Per Store PAYG Rate</t>
        </is>
      </c>
      <c r="B11" s="8" t="n">
        <v>0.1</v>
      </c>
    </row>
    <row r="12">
      <c r="A12" s="4" t="inlineStr">
        <is>
          <t>Avg Store Call Volume (mins/mo)</t>
        </is>
      </c>
      <c r="B12" s="7" t="n">
        <v>1000</v>
      </c>
    </row>
    <row r="13">
      <c r="A13" t="inlineStr">
        <is>
          <t>Avg Stores per Account</t>
        </is>
      </c>
      <c r="B13" t="n">
        <v>18</v>
      </c>
      <c r="C13" t="inlineStr">
        <is>
          <t>Conservative planning assumption; sourced target accounts average ~27 stores per group, providing upside buffer.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D22" sqref="D22"/>
    </sheetView>
  </sheetViews>
  <sheetFormatPr baseColWidth="8" defaultRowHeight="14.4"/>
  <cols>
    <col width="15" customWidth="1" min="1" max="1"/>
    <col width="28.6640625" customWidth="1" min="2" max="2"/>
    <col width="25.21875" customWidth="1" min="3" max="3"/>
    <col width="36.88671875" customWidth="1" min="4" max="4"/>
    <col width="30.77734375" customWidth="1" min="5" max="5"/>
    <col width="32.6640625" customWidth="1" min="6" max="6"/>
    <col width="29.44140625" customWidth="1" min="7" max="7"/>
  </cols>
  <sheetData>
    <row r="1" ht="21" customHeight="1">
      <c r="A1" s="1" t="inlineStr">
        <is>
          <t>Osvi AI — 6-Month Base Case Revenue Ramp</t>
        </is>
      </c>
    </row>
    <row r="12">
      <c r="A12" s="3" t="inlineStr">
        <is>
          <t>Month</t>
        </is>
      </c>
      <c r="B12" s="3" t="inlineStr">
        <is>
          <t>New Accounts Added</t>
        </is>
      </c>
      <c r="C12" s="3" t="inlineStr">
        <is>
          <t>Cumulative Active Accounts</t>
        </is>
      </c>
      <c r="D12" s="3" t="inlineStr">
        <is>
          <t>Cumulative Active Stores (18 stores/acct)</t>
        </is>
      </c>
      <c r="E12" s="3" t="inlineStr">
        <is>
          <t>Total Call Minutes / Mo</t>
        </is>
      </c>
      <c r="F12" s="3" t="inlineStr">
        <is>
          <t>Monthly Recurring Revenue (MRR)</t>
        </is>
      </c>
      <c r="G12" s="3" t="inlineStr">
        <is>
          <t>Cumulative Recognized Revenue</t>
        </is>
      </c>
    </row>
    <row r="13">
      <c r="A13" s="4" t="inlineStr">
        <is>
          <t>Month 1</t>
        </is>
      </c>
      <c r="B13" s="9" t="n">
        <v>1</v>
      </c>
      <c r="C13" s="9">
        <f>B13</f>
        <v/>
      </c>
      <c r="D13" s="9">
        <f>C13*18</f>
        <v/>
      </c>
      <c r="E13" s="9">
        <f>D13*1000</f>
        <v/>
      </c>
      <c r="F13" s="10">
        <f>E13*0.1</f>
        <v/>
      </c>
      <c r="G13" s="5">
        <f>F13</f>
        <v/>
      </c>
    </row>
    <row r="14">
      <c r="A14" s="4" t="inlineStr">
        <is>
          <t>Month 2</t>
        </is>
      </c>
      <c r="B14" s="9" t="n">
        <v>2</v>
      </c>
      <c r="C14" s="9">
        <f>C13+B14</f>
        <v/>
      </c>
      <c r="D14" s="9">
        <f>C14*18</f>
        <v/>
      </c>
      <c r="E14" s="9">
        <f>D14*1000</f>
        <v/>
      </c>
      <c r="F14" s="10">
        <f>E14*0.1</f>
        <v/>
      </c>
      <c r="G14" s="5">
        <f>G13+F14</f>
        <v/>
      </c>
    </row>
    <row r="15">
      <c r="A15" s="4" t="inlineStr">
        <is>
          <t>Month 3</t>
        </is>
      </c>
      <c r="B15" s="9" t="n">
        <v>3</v>
      </c>
      <c r="C15" s="9">
        <f>C14+B15</f>
        <v/>
      </c>
      <c r="D15" s="9">
        <f>C15*18</f>
        <v/>
      </c>
      <c r="E15" s="9">
        <f>D15*1000</f>
        <v/>
      </c>
      <c r="F15" s="10">
        <f>E15*0.1</f>
        <v/>
      </c>
      <c r="G15" s="5">
        <f>G14+F15</f>
        <v/>
      </c>
    </row>
    <row r="16">
      <c r="A16" s="4" t="inlineStr">
        <is>
          <t>Month 4</t>
        </is>
      </c>
      <c r="B16" s="9" t="n">
        <v>4</v>
      </c>
      <c r="C16" s="9">
        <f>C15+B16</f>
        <v/>
      </c>
      <c r="D16" s="9">
        <f>C16*18</f>
        <v/>
      </c>
      <c r="E16" s="9">
        <f>D16*1000</f>
        <v/>
      </c>
      <c r="F16" s="10">
        <f>E16*0.1</f>
        <v/>
      </c>
      <c r="G16" s="5">
        <f>G15+F16</f>
        <v/>
      </c>
    </row>
    <row r="17">
      <c r="A17" s="4" t="inlineStr">
        <is>
          <t>Month 5</t>
        </is>
      </c>
      <c r="B17" s="9" t="n">
        <v>6</v>
      </c>
      <c r="C17" s="9">
        <f>C16+B17</f>
        <v/>
      </c>
      <c r="D17" s="9">
        <f>C17*18</f>
        <v/>
      </c>
      <c r="E17" s="9">
        <f>D17*1000</f>
        <v/>
      </c>
      <c r="F17" s="10">
        <f>E17*0.1</f>
        <v/>
      </c>
      <c r="G17" s="5">
        <f>G16+F17</f>
        <v/>
      </c>
    </row>
    <row r="18">
      <c r="A18" s="4" t="inlineStr">
        <is>
          <t>Month 6</t>
        </is>
      </c>
      <c r="B18" s="9" t="n">
        <v>8</v>
      </c>
      <c r="C18" s="9">
        <f>C17+B18</f>
        <v/>
      </c>
      <c r="D18" s="9">
        <f>C18*18</f>
        <v/>
      </c>
      <c r="E18" s="9">
        <f>D18*1000</f>
        <v/>
      </c>
      <c r="F18" s="10">
        <f>E18*0.1</f>
        <v/>
      </c>
      <c r="G18" s="5">
        <f>G17+F18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C17" sqref="C17"/>
    </sheetView>
  </sheetViews>
  <sheetFormatPr baseColWidth="8" defaultRowHeight="14.4"/>
  <cols>
    <col width="35.77734375" customWidth="1" min="1" max="1"/>
    <col width="38.77734375" customWidth="1" min="2" max="2"/>
    <col width="45.88671875" customWidth="1" min="3" max="3"/>
  </cols>
  <sheetData>
    <row r="1" ht="21" customHeight="1">
      <c r="A1" s="1" t="inlineStr">
        <is>
          <t>Osvi AI — 6-Month Outbound Pipeline Funnel Math</t>
        </is>
      </c>
    </row>
    <row r="4">
      <c r="A4" s="3" t="inlineStr">
        <is>
          <t>Funnel Stage</t>
        </is>
      </c>
      <c r="B4" s="3" t="inlineStr">
        <is>
          <t>Conversion Benchmark</t>
        </is>
      </c>
      <c r="C4" s="3" t="inlineStr">
        <is>
          <t>Required Volume</t>
        </is>
      </c>
      <c r="D4" s="3" t="inlineStr">
        <is>
          <t>Operational Rationale</t>
        </is>
      </c>
    </row>
    <row r="5">
      <c r="A5" s="4" t="inlineStr">
        <is>
          <t>1. Target Sourced Accounts</t>
        </is>
      </c>
      <c r="B5" s="11" t="inlineStr">
        <is>
          <t>100.0%</t>
        </is>
      </c>
      <c r="C5" s="7" t="n">
        <v>1500</v>
      </c>
      <c r="D5" s="11" t="inlineStr">
        <is>
          <t>Top-of-funnel universe of US 5-50 store QSR franchise operators.</t>
        </is>
      </c>
    </row>
    <row r="6">
      <c r="A6" s="4" t="inlineStr">
        <is>
          <t>2. Qualified ICP Accounts</t>
        </is>
      </c>
      <c r="B6" s="11" t="inlineStr">
        <is>
          <t>60.0%</t>
        </is>
      </c>
      <c r="C6" s="7">
        <f>C5*0.6</f>
        <v/>
      </c>
      <c r="D6" s="11" t="inlineStr">
        <is>
          <t>Exclude &gt;50-store operators, single-unit owners, stale entities, and unverified domains.</t>
        </is>
      </c>
    </row>
    <row r="7">
      <c r="A7" s="4" t="inlineStr">
        <is>
          <t>3. Decision-Maker Contacts</t>
        </is>
      </c>
      <c r="B7" s="11" t="inlineStr">
        <is>
          <t>2 per qualified account</t>
        </is>
      </c>
      <c r="C7" s="7">
        <f>C6*2</f>
        <v/>
      </c>
      <c r="D7" s="11" t="inlineStr">
        <is>
          <t>Owner/CEO/COO/CFO or VP Ops per account.</t>
        </is>
      </c>
    </row>
    <row r="8">
      <c r="A8" s="4" t="inlineStr">
        <is>
          <t>4. Positive Replies / Conversations</t>
        </is>
      </c>
      <c r="B8" s="11" t="inlineStr">
        <is>
          <t>5.0% of contacts</t>
        </is>
      </c>
      <c r="C8" s="7">
        <f>C7*0.05</f>
        <v/>
      </c>
      <c r="D8" s="11" t="inlineStr">
        <is>
          <t>Realistic cold outbound conversation rate for a narrow ICP.</t>
        </is>
      </c>
    </row>
    <row r="9">
      <c r="A9" s="4" t="inlineStr">
        <is>
          <t>5. Demos Booked</t>
        </is>
      </c>
      <c r="B9" s="11" t="inlineStr">
        <is>
          <t>50.0% of positive replies / 2.5% of contacts</t>
        </is>
      </c>
      <c r="C9" s="7">
        <f>C8*0.5</f>
        <v/>
      </c>
      <c r="D9" s="11" t="inlineStr">
        <is>
          <t>45 demos from 1,800 contacts.</t>
        </is>
      </c>
    </row>
    <row r="10">
      <c r="A10" t="inlineStr">
        <is>
          <t>6. Free 48-Hr Pilots Started</t>
        </is>
      </c>
      <c r="B10" t="inlineStr">
        <is>
          <t>66.7% of demos</t>
        </is>
      </c>
      <c r="C10" s="15">
        <f>ROUND(C9*(2/3), 0)</f>
        <v/>
      </c>
      <c r="D10" t="inlineStr">
        <is>
          <t>30 pilots where phone-forwarding setup is feasible.</t>
        </is>
      </c>
    </row>
    <row r="11">
      <c r="A11" t="inlineStr">
        <is>
          <t>7. Paid Accounts Closed</t>
        </is>
      </c>
      <c r="B11" t="inlineStr">
        <is>
          <t>80.0% of pilots</t>
        </is>
      </c>
      <c r="C11" s="15">
        <f>ROUND(C10*0.8, 0)</f>
        <v/>
      </c>
      <c r="D11" t="inlineStr">
        <is>
          <t>24 paid accounts; enough to reach $108k cumulative revenue at 18-store average.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C20" sqref="C20"/>
    </sheetView>
  </sheetViews>
  <sheetFormatPr baseColWidth="8" defaultRowHeight="14.4"/>
  <cols>
    <col width="40" customWidth="1" min="1" max="1"/>
    <col width="42.21875" customWidth="1" min="2" max="2"/>
    <col width="48.21875" customWidth="1" min="3" max="3"/>
    <col width="36.44140625" customWidth="1" min="4" max="4"/>
  </cols>
  <sheetData>
    <row r="1" ht="21" customHeight="1">
      <c r="A1" s="1" t="inlineStr">
        <is>
          <t>Osvi AI — 3-Scenario Sensitivity Matrix</t>
        </is>
      </c>
    </row>
    <row r="4">
      <c r="A4" s="3" t="inlineStr">
        <is>
          <t>Metric / Scenario</t>
        </is>
      </c>
      <c r="B4" s="3" t="inlineStr">
        <is>
          <t>Conservative Case</t>
        </is>
      </c>
      <c r="C4" s="3" t="inlineStr">
        <is>
          <t>Base Case (Target)</t>
        </is>
      </c>
      <c r="D4" s="3" t="inlineStr">
        <is>
          <t>Optimistic Case</t>
        </is>
      </c>
    </row>
    <row r="5">
      <c r="A5" s="4" t="inlineStr">
        <is>
          <t>Target Sourced Accounts</t>
        </is>
      </c>
      <c r="B5" s="9" t="n">
        <v>1500</v>
      </c>
      <c r="C5" s="9" t="n">
        <v>1500</v>
      </c>
      <c r="D5" s="9" t="n">
        <v>1500</v>
      </c>
    </row>
    <row r="6">
      <c r="A6" s="4" t="inlineStr">
        <is>
          <t>Qualified ICP Accounts</t>
        </is>
      </c>
      <c r="B6" s="9" t="n">
        <v>750</v>
      </c>
      <c r="C6" s="9" t="n">
        <v>900</v>
      </c>
      <c r="D6" s="9" t="n">
        <v>1050</v>
      </c>
    </row>
    <row r="7">
      <c r="A7" s="4" t="inlineStr">
        <is>
          <t>Decision-Maker Contacts</t>
        </is>
      </c>
      <c r="B7" s="9" t="n">
        <v>1500</v>
      </c>
      <c r="C7" s="9" t="n">
        <v>1800</v>
      </c>
      <c r="D7" s="9" t="n">
        <v>2100</v>
      </c>
    </row>
    <row r="8">
      <c r="A8" s="4" t="inlineStr">
        <is>
          <t>Demo Booking Yield (of Contacts)</t>
        </is>
      </c>
      <c r="B8" s="12" t="n">
        <v>0.015</v>
      </c>
      <c r="C8" s="12" t="n">
        <v>0.025</v>
      </c>
      <c r="D8" s="12" t="n">
        <v>0.04</v>
      </c>
    </row>
    <row r="9">
      <c r="A9" s="4" t="inlineStr">
        <is>
          <t>Pilot Conversion Rate</t>
        </is>
      </c>
      <c r="B9" s="12" t="n">
        <v>0.6</v>
      </c>
      <c r="C9" s="12" t="n">
        <v>0.667</v>
      </c>
      <c r="D9" s="12" t="n">
        <v>0.7</v>
      </c>
    </row>
    <row r="10">
      <c r="A10" s="4" t="inlineStr">
        <is>
          <t>Paid Accounts Closed</t>
        </is>
      </c>
      <c r="B10" s="17" t="n">
        <v>10</v>
      </c>
      <c r="C10" s="17" t="n">
        <v>24</v>
      </c>
      <c r="D10" s="17" t="n">
        <v>41</v>
      </c>
    </row>
    <row r="11">
      <c r="A11" s="4" t="inlineStr">
        <is>
          <t>Month 6 Cumulative Recognized Revenue</t>
        </is>
      </c>
      <c r="B11" s="5" t="n">
        <v>45000</v>
      </c>
      <c r="C11" s="5" t="n">
        <v>108000</v>
      </c>
      <c r="D11" s="5" t="n">
        <v>184500</v>
      </c>
    </row>
    <row r="12">
      <c r="A12" s="4" t="inlineStr">
        <is>
          <t>Target Status vs Goal</t>
        </is>
      </c>
      <c r="B12" s="14" t="inlineStr">
        <is>
          <t>Missed (-55%)</t>
        </is>
      </c>
      <c r="C12" s="14" t="inlineStr">
        <is>
          <t>ACHIEVED (+8%)</t>
        </is>
      </c>
      <c r="D12" s="14" t="inlineStr">
        <is>
          <t>EXCEEDED (+84.5%)</t>
        </is>
      </c>
    </row>
    <row r="13">
      <c r="A13" t="inlineStr">
        <is>
          <t>Target Adjustment / Action Plan</t>
        </is>
      </c>
      <c r="B13" t="inlineStr">
        <is>
          <t>Increase source pool or avg account size</t>
        </is>
      </c>
      <c r="C13" t="inlineStr">
        <is>
          <t>Maintain 1,500 pool and 24 closes</t>
        </is>
      </c>
      <c r="D13" t="inlineStr">
        <is>
          <t>Add AE capacity / expand vertical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2026-07-24T15:10:55Z</dcterms:created>
  <dcterms:modified xmlns:dcterms="http://purl.org/dc/terms/" xmlns:xsi="http://www.w3.org/2001/XMLSchema-instance" xsi:type="dcterms:W3CDTF">2026-07-25T08:50:12Z</dcterms:modified>
  <cp:lastModifiedBy>Utsav Mishra</cp:lastModifiedBy>
</cp:coreProperties>
</file>